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Assumptions" sheetId="3" state="visible" r:id="rId3"/>
    <sheet name="Revenue" sheetId="4" state="visible" r:id="rId4"/>
    <sheet name="OpEx" sheetId="5" state="visible" r:id="rId5"/>
    <sheet name="Cash Flow" sheetId="6" state="visible" r:id="rId6"/>
    <sheet name="Scenarios" sheetId="7" state="visible" r:id="rId7"/>
    <sheet name="Sensitiv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_($* #,##0.00_);_($* (#,##0.00);_($* &quot;-&quot;??_);_(@_)"/>
    <numFmt numFmtId="166" formatCode="_($* #,##0_);_($* (#,##0);_($* &quot;-&quot;_);_(@_)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EAF3FB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3" borderId="1" pivotButton="0" quotePrefix="0" xfId="0"/>
    <xf numFmtId="0" fontId="9" fillId="0" borderId="0" applyAlignment="1" pivotButton="0" quotePrefix="0" xfId="0">
      <alignment horizontal="left" vertical="center"/>
    </xf>
    <xf numFmtId="166" fontId="3" fillId="3" borderId="1" pivotButton="0" quotePrefix="0" xfId="0"/>
    <xf numFmtId="166" fontId="4" fillId="3" borderId="1" pivotButton="0" quotePrefix="0" xfId="0"/>
    <xf numFmtId="10" fontId="4" fillId="3" borderId="1" pivotButton="0" quotePrefix="0" xfId="0"/>
    <xf numFmtId="166" fontId="3" fillId="6" borderId="1" pivotButton="0" quotePrefix="0" xfId="0"/>
    <xf numFmtId="167" fontId="4" fillId="3" borderId="1" pivotButton="0" quotePrefix="0" xfId="0"/>
    <xf numFmtId="0" fontId="2" fillId="5" borderId="0" pivotButton="0" quotePrefix="0" xfId="0"/>
    <xf numFmtId="164" fontId="4" fillId="2" borderId="1" pivotButton="0" quotePrefix="0" xfId="0"/>
    <xf numFmtId="0" fontId="8" fillId="0" borderId="0" applyAlignment="1" pivotButton="0" quotePrefix="0" xfId="0">
      <alignment horizontal="left" vertical="center"/>
    </xf>
    <xf numFmtId="165" fontId="4" fillId="2" borderId="1" pivotButton="0" quotePrefix="0" xfId="0"/>
    <xf numFmtId="10" fontId="4" fillId="2" borderId="1" pivotButton="0" quotePrefix="0" xfId="0"/>
    <xf numFmtId="166" fontId="4" fillId="2" borderId="1" pivotButton="0" quotePrefix="0" xfId="0"/>
    <xf numFmtId="164" fontId="3" fillId="3" borderId="1" pivotButton="0" quotePrefix="0" xfId="0"/>
    <xf numFmtId="165" fontId="4" fillId="3" borderId="1" pivotButton="0" quotePrefix="0" xfId="0"/>
    <xf numFmtId="10" fontId="3" fillId="3" borderId="1" pivotButton="0" quotePrefix="0" xfId="0"/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0" customWidth="1" min="3" max="3"/>
    <col width="20" customWidth="1" min="4" max="4"/>
  </cols>
  <sheetData>
    <row r="2" ht="36" customHeight="1">
      <c r="B2" s="1" t="inlineStr">
        <is>
          <t>HealthCo, Inc.</t>
        </is>
      </c>
    </row>
    <row r="3">
      <c r="B3" s="2" t="inlineStr">
        <is>
          <t>EchoPilot — AI SaMD for cardiac amyloidosis</t>
        </is>
      </c>
    </row>
    <row r="5">
      <c r="B5" s="3" t="inlineStr">
        <is>
          <t>Document</t>
        </is>
      </c>
      <c r="C5" s="4" t="inlineStr">
        <is>
          <t>Series A Financial Model</t>
        </is>
      </c>
    </row>
    <row r="6">
      <c r="B6" s="3" t="inlineStr">
        <is>
          <t>Version</t>
        </is>
      </c>
      <c r="C6" s="4" t="inlineStr">
        <is>
          <t>v1.0 — Sample</t>
        </is>
      </c>
    </row>
    <row r="7">
      <c r="B7" s="3" t="inlineStr">
        <is>
          <t>Date</t>
        </is>
      </c>
      <c r="C7" s="4" t="inlineStr">
        <is>
          <t>2026-05-01</t>
        </is>
      </c>
    </row>
    <row r="8">
      <c r="B8" s="3" t="inlineStr">
        <is>
          <t>Prepared by</t>
        </is>
      </c>
      <c r="C8" s="4" t="inlineStr">
        <is>
          <t>STP Advisory — Healthcare Practice</t>
        </is>
      </c>
    </row>
    <row r="9">
      <c r="B9" s="3" t="inlineStr">
        <is>
          <t>Currency</t>
        </is>
      </c>
      <c r="C9" s="4" t="inlineStr">
        <is>
          <t>USD, unless otherwise noted</t>
        </is>
      </c>
    </row>
    <row r="10">
      <c r="B10" s="3" t="inlineStr">
        <is>
          <t>Fiscal Year</t>
        </is>
      </c>
      <c r="C10" s="4" t="inlineStr">
        <is>
          <t>Calendar (Jan-Dec)</t>
        </is>
      </c>
    </row>
    <row r="12">
      <c r="B12" s="3" t="inlineStr">
        <is>
          <t>Tabs</t>
        </is>
      </c>
    </row>
    <row r="13">
      <c r="B13" s="3" t="inlineStr">
        <is>
          <t>Summary</t>
        </is>
      </c>
      <c r="C13" s="4" t="inlineStr">
        <is>
          <t>KPI dashboard Y1-Y5</t>
        </is>
      </c>
    </row>
    <row r="14">
      <c r="B14" s="3" t="inlineStr">
        <is>
          <t>Assumptions</t>
        </is>
      </c>
      <c r="C14" s="4" t="inlineStr">
        <is>
          <t>All driver inputs</t>
        </is>
      </c>
    </row>
    <row r="15">
      <c r="B15" s="3" t="inlineStr">
        <is>
          <t>Revenue</t>
        </is>
      </c>
      <c r="C15" s="4" t="inlineStr">
        <is>
          <t>Customer build, ASP, channel mix</t>
        </is>
      </c>
    </row>
    <row r="16">
      <c r="B16" s="3" t="inlineStr">
        <is>
          <t>OpEx</t>
        </is>
      </c>
      <c r="C16" s="4" t="inlineStr">
        <is>
          <t>Headcount-driven operating expenses</t>
        </is>
      </c>
    </row>
    <row r="17">
      <c r="B17" s="3" t="inlineStr">
        <is>
          <t>Cash Flow</t>
        </is>
      </c>
      <c r="C17" s="4" t="inlineStr">
        <is>
          <t>Monthly Y1, quarterly Y2-Y3, annual Y4-Y5</t>
        </is>
      </c>
    </row>
    <row r="18">
      <c r="B18" s="3" t="inlineStr">
        <is>
          <t>Scenarios</t>
        </is>
      </c>
      <c r="C18" s="4" t="inlineStr">
        <is>
          <t>Base / Conservative / Upside</t>
        </is>
      </c>
    </row>
    <row r="19">
      <c r="B19" s="3" t="inlineStr">
        <is>
          <t>Sensitivities</t>
        </is>
      </c>
      <c r="C19" s="4" t="inlineStr">
        <is>
          <t>Burn / ASP / Ramp</t>
        </is>
      </c>
    </row>
    <row r="22" ht="40" customHeight="1">
      <c r="B22" s="5" t="inlineStr">
        <is>
          <t>SAMPLE — FOR DEMONSTRATION ONLY. Not an offer of securities. Not investment advice. All figures illustrative; HealthCo is a fictional company.</t>
        </is>
      </c>
    </row>
    <row r="24">
      <c r="B24" s="3" t="inlineStr">
        <is>
          <t>Cell color key</t>
        </is>
      </c>
    </row>
    <row r="25">
      <c r="B25" s="6" t="inlineStr">
        <is>
          <t>Driver / input</t>
        </is>
      </c>
    </row>
    <row r="26">
      <c r="B26" s="7" t="inlineStr">
        <is>
          <t>Computed (formula)</t>
        </is>
      </c>
    </row>
  </sheetData>
  <mergeCells count="1">
    <mergeCell ref="B22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HealthCo — Five-Year Summary</t>
        </is>
      </c>
    </row>
    <row r="2">
      <c r="B2" s="8" t="inlineStr">
        <is>
          <t>Sample — for demonstration only</t>
        </is>
      </c>
    </row>
    <row r="4">
      <c r="B4" s="9" t="inlineStr">
        <is>
          <t>KPI</t>
        </is>
      </c>
      <c r="C4" s="9" t="inlineStr">
        <is>
          <t>Y1 (2026)</t>
        </is>
      </c>
      <c r="D4" s="9" t="inlineStr">
        <is>
          <t>Y2 (2027)</t>
        </is>
      </c>
      <c r="E4" s="9" t="inlineStr">
        <is>
          <t>Y3 (2028)</t>
        </is>
      </c>
      <c r="F4" s="9" t="inlineStr">
        <is>
          <t>Y4 (2029)</t>
        </is>
      </c>
      <c r="G4" s="9" t="inlineStr">
        <is>
          <t>Y5 (2030)</t>
        </is>
      </c>
    </row>
    <row r="5">
      <c r="B5" s="10" t="inlineStr">
        <is>
          <t>Paying customers (EOY)</t>
        </is>
      </c>
      <c r="C5" s="11">
        <f>Revenue!C4</f>
        <v/>
      </c>
      <c r="D5" s="11">
        <f>Revenue!D4</f>
        <v/>
      </c>
      <c r="E5" s="11">
        <f>Revenue!E4</f>
        <v/>
      </c>
      <c r="F5" s="11">
        <f>Revenue!F4</f>
        <v/>
      </c>
      <c r="G5" s="11">
        <f>Revenue!G4</f>
        <v/>
      </c>
    </row>
    <row r="6">
      <c r="B6" s="10" t="inlineStr">
        <is>
          <t>Total echos / yr</t>
        </is>
      </c>
      <c r="C6" s="11">
        <f>Revenue!C7</f>
        <v/>
      </c>
      <c r="D6" s="11">
        <f>Revenue!D7</f>
        <v/>
      </c>
      <c r="E6" s="11">
        <f>Revenue!E7</f>
        <v/>
      </c>
      <c r="F6" s="11">
        <f>Revenue!F7</f>
        <v/>
      </c>
      <c r="G6" s="11">
        <f>Revenue!G7</f>
        <v/>
      </c>
    </row>
    <row r="7">
      <c r="B7" s="12" t="inlineStr">
        <is>
          <t>Revenue</t>
        </is>
      </c>
      <c r="C7" s="13">
        <f>Revenue!C9</f>
        <v/>
      </c>
      <c r="D7" s="13">
        <f>Revenue!D9</f>
        <v/>
      </c>
      <c r="E7" s="13">
        <f>Revenue!E9</f>
        <v/>
      </c>
      <c r="F7" s="13">
        <f>Revenue!F9</f>
        <v/>
      </c>
      <c r="G7" s="13">
        <f>Revenue!G9</f>
        <v/>
      </c>
    </row>
    <row r="8">
      <c r="B8" s="10" t="inlineStr">
        <is>
          <t>Gross profit</t>
        </is>
      </c>
      <c r="C8" s="14">
        <f>Revenue!C15</f>
        <v/>
      </c>
      <c r="D8" s="14">
        <f>Revenue!D15</f>
        <v/>
      </c>
      <c r="E8" s="14">
        <f>Revenue!E15</f>
        <v/>
      </c>
      <c r="F8" s="14">
        <f>Revenue!F15</f>
        <v/>
      </c>
      <c r="G8" s="14">
        <f>Revenue!G15</f>
        <v/>
      </c>
    </row>
    <row r="9">
      <c r="B9" s="10" t="inlineStr">
        <is>
          <t>Gross margin %</t>
        </is>
      </c>
      <c r="C9" s="15">
        <f>Revenue!C16</f>
        <v/>
      </c>
      <c r="D9" s="15">
        <f>Revenue!D16</f>
        <v/>
      </c>
      <c r="E9" s="15">
        <f>Revenue!E16</f>
        <v/>
      </c>
      <c r="F9" s="15">
        <f>Revenue!F16</f>
        <v/>
      </c>
      <c r="G9" s="15">
        <f>Revenue!G16</f>
        <v/>
      </c>
    </row>
    <row r="10">
      <c r="B10" s="12" t="inlineStr">
        <is>
          <t>Total OpEx</t>
        </is>
      </c>
      <c r="C10" s="13">
        <f>OpEx!C30</f>
        <v/>
      </c>
      <c r="D10" s="13">
        <f>OpEx!D30</f>
        <v/>
      </c>
      <c r="E10" s="13">
        <f>OpEx!E30</f>
        <v/>
      </c>
      <c r="F10" s="13">
        <f>OpEx!F30</f>
        <v/>
      </c>
      <c r="G10" s="13">
        <f>OpEx!G30</f>
        <v/>
      </c>
    </row>
    <row r="11">
      <c r="B11" s="12" t="inlineStr">
        <is>
          <t>EBITDA</t>
        </is>
      </c>
      <c r="C11" s="16">
        <f>Revenue!C15-OpEx!C30</f>
        <v/>
      </c>
      <c r="D11" s="16">
        <f>Revenue!D15-OpEx!D30</f>
        <v/>
      </c>
      <c r="E11" s="16">
        <f>Revenue!E15-OpEx!E30</f>
        <v/>
      </c>
      <c r="F11" s="16">
        <f>Revenue!F15-OpEx!F30</f>
        <v/>
      </c>
      <c r="G11" s="16">
        <f>Revenue!G15-OpEx!G30</f>
        <v/>
      </c>
    </row>
    <row r="12">
      <c r="B12" s="10" t="inlineStr">
        <is>
          <t>EBITDA margin %</t>
        </is>
      </c>
      <c r="C12" s="15">
        <f>C11/Revenue!C9</f>
        <v/>
      </c>
      <c r="D12" s="15">
        <f>D11/Revenue!D9</f>
        <v/>
      </c>
      <c r="E12" s="15">
        <f>E11/Revenue!E9</f>
        <v/>
      </c>
      <c r="F12" s="15">
        <f>F11/Revenue!F9</f>
        <v/>
      </c>
      <c r="G12" s="15">
        <f>G11/Revenue!G9</f>
        <v/>
      </c>
    </row>
    <row r="13">
      <c r="B13" s="12" t="inlineStr">
        <is>
          <t>Cash at year-end</t>
        </is>
      </c>
      <c r="C13" s="16">
        <f>'Cash Flow'!N19</f>
        <v/>
      </c>
      <c r="D13" s="16">
        <f>'Cash Flow'!R19</f>
        <v/>
      </c>
      <c r="E13" s="16">
        <f>'Cash Flow'!V19</f>
        <v/>
      </c>
      <c r="F13" s="16">
        <f>'Cash Flow'!W19</f>
        <v/>
      </c>
      <c r="G13" s="16">
        <f>'Cash Flow'!X19</f>
        <v/>
      </c>
    </row>
    <row r="14">
      <c r="B14" s="10" t="inlineStr">
        <is>
          <t>Annual burn (if EBITDA&lt;0)</t>
        </is>
      </c>
      <c r="C14" s="14">
        <f>IF(C11&lt;0,-C11,0)</f>
        <v/>
      </c>
      <c r="D14" s="14">
        <f>IF(D11&lt;0,-D11,0)</f>
        <v/>
      </c>
      <c r="E14" s="14">
        <f>IF(E11&lt;0,-E11,0)</f>
        <v/>
      </c>
      <c r="F14" s="14">
        <f>IF(F11&lt;0,-F11,0)</f>
        <v/>
      </c>
      <c r="G14" s="14">
        <f>IF(G11&lt;0,-G11,0)</f>
        <v/>
      </c>
    </row>
    <row r="15">
      <c r="B15" s="10" t="inlineStr">
        <is>
          <t>Runway from year-end (months)</t>
        </is>
      </c>
      <c r="C15" s="17">
        <f>IF(C14&gt;0,C13/(C14/12),"profitable")</f>
        <v/>
      </c>
      <c r="D15" s="17">
        <f>IF(D14&gt;0,D13/(D14/12),"profitable")</f>
        <v/>
      </c>
      <c r="E15" s="17">
        <f>IF(E14&gt;0,E13/(E14/12),"profitable")</f>
        <v/>
      </c>
      <c r="F15" s="17">
        <f>IF(F14&gt;0,F13/(F14/12),"profitable")</f>
        <v/>
      </c>
      <c r="G15" s="17">
        <f>IF(G14&gt;0,G13/(G14/12),"profitable")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B1" s="1" t="inlineStr">
        <is>
          <t>HealthCo — Driver Assumptions</t>
        </is>
      </c>
    </row>
    <row r="3">
      <c r="B3" s="9" t="inlineStr">
        <is>
          <t>Driver</t>
        </is>
      </c>
      <c r="C3" s="9" t="inlineStr">
        <is>
          <t>Y1 (2026)</t>
        </is>
      </c>
      <c r="D3" s="9" t="inlineStr">
        <is>
          <t>Y2 (2027)</t>
        </is>
      </c>
      <c r="E3" s="9" t="inlineStr">
        <is>
          <t>Y3 (2028)</t>
        </is>
      </c>
      <c r="F3" s="9" t="inlineStr">
        <is>
          <t>Y4 (2029)</t>
        </is>
      </c>
      <c r="G3" s="9" t="inlineStr">
        <is>
          <t>Y5 (2030)</t>
        </is>
      </c>
      <c r="H3" s="9" t="inlineStr">
        <is>
          <t>Notes</t>
        </is>
      </c>
    </row>
    <row r="4">
      <c r="B4" s="18" t="inlineStr">
        <is>
          <t>CUSTOMERS &amp; VOLUME</t>
        </is>
      </c>
    </row>
    <row r="5">
      <c r="B5" s="10" t="inlineStr">
        <is>
          <t>Paying customers (cumulative, end of year)</t>
        </is>
      </c>
      <c r="C5" s="19" t="n">
        <v>10</v>
      </c>
      <c r="D5" s="19" t="n">
        <v>22</v>
      </c>
      <c r="E5" s="19" t="n">
        <v>38</v>
      </c>
      <c r="F5" s="19" t="n">
        <v>58</v>
      </c>
      <c r="G5" s="19" t="n">
        <v>80</v>
      </c>
      <c r="H5" s="20" t="inlineStr">
        <is>
          <t>Pilots-to-paid conversion. Comparable: Us2.ai ~30 sites in 2024.</t>
        </is>
      </c>
    </row>
    <row r="6">
      <c r="B6" s="10" t="inlineStr">
        <is>
          <t>Echos per customer per month (avg)</t>
        </is>
      </c>
      <c r="C6" s="19" t="n">
        <v>180</v>
      </c>
      <c r="D6" s="19" t="n">
        <v>240</v>
      </c>
      <c r="E6" s="19" t="n">
        <v>300</v>
      </c>
      <c r="F6" s="19" t="n">
        <v>340</v>
      </c>
      <c r="G6" s="19" t="n">
        <v>360</v>
      </c>
      <c r="H6" s="20" t="inlineStr">
        <is>
          <t>Mid-volume cardiology center: 150-400 echos/mo.</t>
        </is>
      </c>
    </row>
    <row r="7">
      <c r="B7" s="10" t="inlineStr">
        <is>
          <t>Average Selling Price per study (USD)</t>
        </is>
      </c>
      <c r="C7" s="21" t="n">
        <v>28</v>
      </c>
      <c r="D7" s="21" t="n">
        <v>35</v>
      </c>
      <c r="E7" s="21" t="n">
        <v>45</v>
      </c>
      <c r="F7" s="21" t="n">
        <v>52</v>
      </c>
      <c r="G7" s="21" t="n">
        <v>58</v>
      </c>
      <c r="H7" s="20" t="inlineStr">
        <is>
          <t>Ramp from $25 today (pilot pricing) to $58 at scale.</t>
        </is>
      </c>
    </row>
    <row r="8">
      <c r="B8" s="10" t="inlineStr">
        <is>
          <t>Annual logo churn</t>
        </is>
      </c>
      <c r="C8" s="22" t="n">
        <v>0.05</v>
      </c>
      <c r="D8" s="22" t="n">
        <v>0.07000000000000001</v>
      </c>
      <c r="E8" s="22" t="n">
        <v>0.08</v>
      </c>
      <c r="F8" s="22" t="n">
        <v>0.09</v>
      </c>
      <c r="G8" s="22" t="n">
        <v>0.1</v>
      </c>
      <c r="H8" s="20" t="inlineStr">
        <is>
          <t>Healthcare SaaS benchmark 6-12% logo churn.</t>
        </is>
      </c>
    </row>
    <row r="10">
      <c r="B10" s="18" t="inlineStr">
        <is>
          <t>CHANNEL MIX (% of new customers)</t>
        </is>
      </c>
    </row>
    <row r="11">
      <c r="B11" s="10" t="inlineStr">
        <is>
          <t>Direct enterprise</t>
        </is>
      </c>
      <c r="C11" s="22" t="n">
        <v>0.3</v>
      </c>
      <c r="D11" s="22" t="n">
        <v>0.35</v>
      </c>
      <c r="E11" s="22" t="n">
        <v>0.4</v>
      </c>
      <c r="F11" s="22" t="n">
        <v>0.45</v>
      </c>
      <c r="G11" s="22" t="n">
        <v>0.5</v>
      </c>
      <c r="H11" s="20" t="inlineStr">
        <is>
          <t>Health-system enterprise contracts.</t>
        </is>
      </c>
    </row>
    <row r="12">
      <c r="B12" s="10" t="inlineStr">
        <is>
          <t>Channel partner (PACS / OEM)</t>
        </is>
      </c>
      <c r="C12" s="22" t="n">
        <v>0.5</v>
      </c>
      <c r="D12" s="22" t="n">
        <v>0.45</v>
      </c>
      <c r="E12" s="22" t="n">
        <v>0.4</v>
      </c>
      <c r="F12" s="22" t="n">
        <v>0.35</v>
      </c>
      <c r="G12" s="22" t="n">
        <v>0.3</v>
      </c>
      <c r="H12" s="20" t="inlineStr">
        <is>
          <t>GE / Philips / Epic-resold; lower ASP, faster reach.</t>
        </is>
      </c>
    </row>
    <row r="13">
      <c r="B13" s="10" t="inlineStr">
        <is>
          <t>Self-serve / mid-market</t>
        </is>
      </c>
      <c r="C13" s="22" t="n">
        <v>0.2</v>
      </c>
      <c r="D13" s="22" t="n">
        <v>0.2</v>
      </c>
      <c r="E13" s="22" t="n">
        <v>0.2</v>
      </c>
      <c r="F13" s="22" t="n">
        <v>0.2</v>
      </c>
      <c r="G13" s="22" t="n">
        <v>0.2</v>
      </c>
      <c r="H13" s="20" t="inlineStr">
        <is>
          <t>Smaller cardiology groups.</t>
        </is>
      </c>
    </row>
    <row r="15">
      <c r="B15" s="18" t="inlineStr">
        <is>
          <t>HEADCOUNT (FTE, end of year)</t>
        </is>
      </c>
    </row>
    <row r="16">
      <c r="B16" s="10" t="inlineStr">
        <is>
          <t>Sales &amp; Marketing FTE</t>
        </is>
      </c>
      <c r="C16" s="19" t="n">
        <v>10</v>
      </c>
      <c r="D16" s="19" t="n">
        <v>18</v>
      </c>
      <c r="E16" s="19" t="n">
        <v>26</v>
      </c>
      <c r="F16" s="19" t="n">
        <v>32</v>
      </c>
      <c r="G16" s="19" t="n">
        <v>36</v>
      </c>
      <c r="H16" s="20" t="inlineStr">
        <is>
          <t>AE + SDR + clinical specialists + marketing.</t>
        </is>
      </c>
    </row>
    <row r="17">
      <c r="B17" s="10" t="inlineStr">
        <is>
          <t>R&amp;D / Engineering FTE</t>
        </is>
      </c>
      <c r="C17" s="19" t="n">
        <v>14</v>
      </c>
      <c r="D17" s="19" t="n">
        <v>20</v>
      </c>
      <c r="E17" s="19" t="n">
        <v>26</v>
      </c>
      <c r="F17" s="19" t="n">
        <v>30</v>
      </c>
      <c r="G17" s="19" t="n">
        <v>32</v>
      </c>
      <c r="H17" s="20" t="inlineStr">
        <is>
          <t>ML, software, regulatory engineering.</t>
        </is>
      </c>
    </row>
    <row r="18">
      <c r="B18" s="10" t="inlineStr">
        <is>
          <t>Clinical / Medical Affairs FTE</t>
        </is>
      </c>
      <c r="C18" s="19" t="n">
        <v>3</v>
      </c>
      <c r="D18" s="19" t="n">
        <v>5</v>
      </c>
      <c r="E18" s="19" t="n">
        <v>7</v>
      </c>
      <c r="F18" s="19" t="n">
        <v>8</v>
      </c>
      <c r="G18" s="19" t="n">
        <v>8</v>
      </c>
      <c r="H18" s="20" t="inlineStr">
        <is>
          <t>Clinical evidence, KOL, medical affairs.</t>
        </is>
      </c>
    </row>
    <row r="19">
      <c r="B19" s="10" t="inlineStr">
        <is>
          <t>G&amp;A FTE</t>
        </is>
      </c>
      <c r="C19" s="19" t="n">
        <v>4</v>
      </c>
      <c r="D19" s="19" t="n">
        <v>6</v>
      </c>
      <c r="E19" s="19" t="n">
        <v>8</v>
      </c>
      <c r="F19" s="19" t="n">
        <v>9</v>
      </c>
      <c r="G19" s="19" t="n">
        <v>10</v>
      </c>
      <c r="H19" s="20" t="inlineStr">
        <is>
          <t>Finance, ops, legal, people.</t>
        </is>
      </c>
    </row>
    <row r="20">
      <c r="B20" s="10" t="inlineStr">
        <is>
          <t>Fully-loaded cost per FTE (USD/yr)</t>
        </is>
      </c>
      <c r="C20" s="23" t="n">
        <v>195000</v>
      </c>
      <c r="D20" s="23" t="n">
        <v>205000</v>
      </c>
      <c r="E20" s="23" t="n">
        <v>215000</v>
      </c>
      <c r="F20" s="23" t="n">
        <v>225000</v>
      </c>
      <c r="G20" s="23" t="n">
        <v>235000</v>
      </c>
      <c r="H20" s="20" t="inlineStr">
        <is>
          <t>Salary + benefits + payroll tax + equipment.</t>
        </is>
      </c>
    </row>
    <row r="22">
      <c r="B22" s="18" t="inlineStr">
        <is>
          <t>COGS &amp; MARGIN</t>
        </is>
      </c>
    </row>
    <row r="23">
      <c r="B23" s="10" t="inlineStr">
        <is>
          <t>Cloud / inference per study (USD)</t>
        </is>
      </c>
      <c r="C23" s="21" t="n">
        <v>0.85</v>
      </c>
      <c r="D23" s="21" t="n">
        <v>0.75</v>
      </c>
      <c r="E23" s="21" t="n">
        <v>0.65</v>
      </c>
      <c r="F23" s="21" t="n">
        <v>0.58</v>
      </c>
      <c r="G23" s="21" t="n">
        <v>0.52</v>
      </c>
      <c r="H23" s="20" t="inlineStr">
        <is>
          <t>GPU inference + storage; declines with scale.</t>
        </is>
      </c>
    </row>
    <row r="24">
      <c r="B24" s="10" t="inlineStr">
        <is>
          <t>Hosting / infra fixed (USD/yr)</t>
        </is>
      </c>
      <c r="C24" s="23" t="n">
        <v>180000</v>
      </c>
      <c r="D24" s="23" t="n">
        <v>240000</v>
      </c>
      <c r="E24" s="23" t="n">
        <v>320000</v>
      </c>
      <c r="F24" s="23" t="n">
        <v>380000</v>
      </c>
      <c r="G24" s="23" t="n">
        <v>420000</v>
      </c>
      <c r="H24" s="20" t="inlineStr">
        <is>
          <t>Multi-region HIPAA infra, monitoring.</t>
        </is>
      </c>
    </row>
    <row r="25">
      <c r="B25" s="10" t="inlineStr">
        <is>
          <t>Customer success cost per customer (USD/yr)</t>
        </is>
      </c>
      <c r="C25" s="23" t="n">
        <v>12000</v>
      </c>
      <c r="D25" s="23" t="n">
        <v>11000</v>
      </c>
      <c r="E25" s="23" t="n">
        <v>10000</v>
      </c>
      <c r="F25" s="23" t="n">
        <v>9500</v>
      </c>
      <c r="G25" s="23" t="n">
        <v>9000</v>
      </c>
      <c r="H25" s="20" t="inlineStr">
        <is>
          <t>Implementation + ongoing support.</t>
        </is>
      </c>
    </row>
    <row r="27">
      <c r="B27" s="18" t="inlineStr">
        <is>
          <t>OTHER OPEX</t>
        </is>
      </c>
    </row>
    <row r="28">
      <c r="B28" s="10" t="inlineStr">
        <is>
          <t>Clinical study spend (USD/yr)</t>
        </is>
      </c>
      <c r="C28" s="23" t="n">
        <v>800000</v>
      </c>
      <c r="D28" s="23" t="n">
        <v>1200000</v>
      </c>
      <c r="E28" s="23" t="n">
        <v>800000</v>
      </c>
      <c r="F28" s="23" t="n">
        <v>500000</v>
      </c>
      <c r="G28" s="23" t="n">
        <v>400000</v>
      </c>
      <c r="H28" s="20" t="inlineStr">
        <is>
          <t>Multi-center post-market studies; tapers post-evidence.</t>
        </is>
      </c>
    </row>
    <row r="29">
      <c r="B29" s="10" t="inlineStr">
        <is>
          <t>T&amp;E per S&amp;M FTE (USD/yr)</t>
        </is>
      </c>
      <c r="C29" s="23" t="n">
        <v>22000</v>
      </c>
      <c r="D29" s="23" t="n">
        <v>24000</v>
      </c>
      <c r="E29" s="23" t="n">
        <v>26000</v>
      </c>
      <c r="F29" s="23" t="n">
        <v>26000</v>
      </c>
      <c r="G29" s="23" t="n">
        <v>26000</v>
      </c>
      <c r="H29" s="20" t="inlineStr">
        <is>
          <t>Conferences (HIMSS, ACC, ESC), customer travel.</t>
        </is>
      </c>
    </row>
    <row r="30">
      <c r="B30" s="10" t="inlineStr">
        <is>
          <t>Software &amp; tools per FTE (USD/yr)</t>
        </is>
      </c>
      <c r="C30" s="23" t="n">
        <v>4500</v>
      </c>
      <c r="D30" s="23" t="n">
        <v>4500</v>
      </c>
      <c r="E30" s="23" t="n">
        <v>4500</v>
      </c>
      <c r="F30" s="23" t="n">
        <v>4500</v>
      </c>
      <c r="G30" s="23" t="n">
        <v>4500</v>
      </c>
      <c r="H30" s="20" t="inlineStr">
        <is>
          <t>Productivity stack, dev tools.</t>
        </is>
      </c>
    </row>
    <row r="31">
      <c r="B31" s="10" t="inlineStr">
        <is>
          <t>Legal / regulatory (USD/yr)</t>
        </is>
      </c>
      <c r="C31" s="23" t="n">
        <v>350000</v>
      </c>
      <c r="D31" s="23" t="n">
        <v>400000</v>
      </c>
      <c r="E31" s="23" t="n">
        <v>450000</v>
      </c>
      <c r="F31" s="23" t="n">
        <v>500000</v>
      </c>
      <c r="G31" s="23" t="n">
        <v>550000</v>
      </c>
      <c r="H31" s="20" t="inlineStr">
        <is>
          <t>Outside counsel, FDA submissions, IP.</t>
        </is>
      </c>
    </row>
    <row r="32">
      <c r="B32" s="10" t="inlineStr">
        <is>
          <t>Marketing programs (USD/yr)</t>
        </is>
      </c>
      <c r="C32" s="23" t="n">
        <v>600000</v>
      </c>
      <c r="D32" s="23" t="n">
        <v>1100000</v>
      </c>
      <c r="E32" s="23" t="n">
        <v>1600000</v>
      </c>
      <c r="F32" s="23" t="n">
        <v>1900000</v>
      </c>
      <c r="G32" s="23" t="n">
        <v>2100000</v>
      </c>
      <c r="H32" s="20" t="inlineStr">
        <is>
          <t>Demand gen, events, content. Excludes S&amp;M payroll.</t>
        </is>
      </c>
    </row>
    <row r="34">
      <c r="B34" s="18" t="inlineStr">
        <is>
          <t>FINANCING &amp; GRANTS</t>
        </is>
      </c>
    </row>
    <row r="35">
      <c r="B35" s="10" t="inlineStr">
        <is>
          <t>Series A close (USD)</t>
        </is>
      </c>
      <c r="C35" s="23" t="n">
        <v>15000000</v>
      </c>
      <c r="H35" s="20" t="inlineStr">
        <is>
          <t>Closes month 1 of Y1 in this model.</t>
        </is>
      </c>
    </row>
    <row r="36">
      <c r="B36" s="10" t="inlineStr">
        <is>
          <t>NIH SBIR Phase II (USD, non-dilutive)</t>
        </is>
      </c>
      <c r="C36" s="23" t="n">
        <v>1700000</v>
      </c>
      <c r="H36" s="20" t="inlineStr">
        <is>
          <t>Recognized over Y1-Y2 ($850K each).</t>
        </is>
      </c>
    </row>
    <row r="37">
      <c r="B37" s="10" t="inlineStr">
        <is>
          <t>Starting cash before Series A (USD)</t>
        </is>
      </c>
      <c r="C37" s="23" t="n">
        <v>2200000</v>
      </c>
      <c r="H37" s="20" t="inlineStr">
        <is>
          <t>Approx 4.6 months runway at $475K/mo pre-close.</t>
        </is>
      </c>
    </row>
  </sheetData>
  <mergeCells count="7">
    <mergeCell ref="B22:H22"/>
    <mergeCell ref="B27:H27"/>
    <mergeCell ref="B1:H1"/>
    <mergeCell ref="B4:H4"/>
    <mergeCell ref="B15:H15"/>
    <mergeCell ref="B10:H10"/>
    <mergeCell ref="B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B1" s="1" t="inlineStr">
        <is>
          <t>Revenue Build</t>
        </is>
      </c>
    </row>
    <row r="3">
      <c r="B3" s="9" t="inlineStr">
        <is>
          <t>Driver / Output</t>
        </is>
      </c>
      <c r="C3" s="9" t="inlineStr">
        <is>
          <t>Y1</t>
        </is>
      </c>
      <c r="D3" s="9" t="inlineStr">
        <is>
          <t>Y2</t>
        </is>
      </c>
      <c r="E3" s="9" t="inlineStr">
        <is>
          <t>Y3</t>
        </is>
      </c>
      <c r="F3" s="9" t="inlineStr">
        <is>
          <t>Y4</t>
        </is>
      </c>
      <c r="G3" s="9" t="inlineStr">
        <is>
          <t>Y5</t>
        </is>
      </c>
      <c r="H3" s="9" t="inlineStr">
        <is>
          <t>Notes</t>
        </is>
      </c>
    </row>
    <row r="4">
      <c r="B4" s="12" t="inlineStr">
        <is>
          <t>Paying customers (EOY)</t>
        </is>
      </c>
      <c r="C4" s="11">
        <f>Assumptions!C5</f>
        <v/>
      </c>
      <c r="D4" s="11">
        <f>Assumptions!D5</f>
        <v/>
      </c>
      <c r="E4" s="11">
        <f>Assumptions!E5</f>
        <v/>
      </c>
      <c r="F4" s="11">
        <f>Assumptions!F5</f>
        <v/>
      </c>
      <c r="G4" s="11">
        <f>Assumptions!G5</f>
        <v/>
      </c>
    </row>
    <row r="5">
      <c r="B5" s="20" t="inlineStr">
        <is>
          <t>Average customers in year</t>
        </is>
      </c>
      <c r="C5" s="11">
        <f>(7+C4)/2</f>
        <v/>
      </c>
      <c r="D5" s="11">
        <f>(C4+D4)/2</f>
        <v/>
      </c>
      <c r="E5" s="11">
        <f>(D4+E4)/2</f>
        <v/>
      </c>
      <c r="F5" s="11">
        <f>(E4+F4)/2</f>
        <v/>
      </c>
      <c r="G5" s="11">
        <f>(F4+G4)/2</f>
        <v/>
      </c>
    </row>
    <row r="6">
      <c r="B6" s="10" t="inlineStr">
        <is>
          <t>Echos per customer per month</t>
        </is>
      </c>
      <c r="C6" s="11">
        <f>Assumptions!C6</f>
        <v/>
      </c>
      <c r="D6" s="11">
        <f>Assumptions!D6</f>
        <v/>
      </c>
      <c r="E6" s="11">
        <f>Assumptions!E6</f>
        <v/>
      </c>
      <c r="F6" s="11">
        <f>Assumptions!F6</f>
        <v/>
      </c>
      <c r="G6" s="11">
        <f>Assumptions!G6</f>
        <v/>
      </c>
    </row>
    <row r="7">
      <c r="B7" s="12" t="inlineStr">
        <is>
          <t>Total echos in year</t>
        </is>
      </c>
      <c r="C7" s="24">
        <f>C5*C6*12</f>
        <v/>
      </c>
      <c r="D7" s="24">
        <f>D5*D6*12</f>
        <v/>
      </c>
      <c r="E7" s="24">
        <f>E5*E6*12</f>
        <v/>
      </c>
      <c r="F7" s="24">
        <f>F5*F6*12</f>
        <v/>
      </c>
      <c r="G7" s="24">
        <f>G5*G6*12</f>
        <v/>
      </c>
    </row>
    <row r="8">
      <c r="B8" s="10" t="inlineStr">
        <is>
          <t>Average Selling Price per study</t>
        </is>
      </c>
      <c r="C8" s="25">
        <f>Assumptions!C7</f>
        <v/>
      </c>
      <c r="D8" s="25">
        <f>Assumptions!D7</f>
        <v/>
      </c>
      <c r="E8" s="25">
        <f>Assumptions!E7</f>
        <v/>
      </c>
      <c r="F8" s="25">
        <f>Assumptions!F7</f>
        <v/>
      </c>
      <c r="G8" s="25">
        <f>Assumptions!G7</f>
        <v/>
      </c>
    </row>
    <row r="9">
      <c r="B9" s="12" t="inlineStr">
        <is>
          <t>Gross revenue (echos x ASP)</t>
        </is>
      </c>
      <c r="C9" s="16">
        <f>C7*C8</f>
        <v/>
      </c>
      <c r="D9" s="16">
        <f>D7*D8</f>
        <v/>
      </c>
      <c r="E9" s="16">
        <f>E7*E8</f>
        <v/>
      </c>
      <c r="F9" s="16">
        <f>F7*F8</f>
        <v/>
      </c>
      <c r="G9" s="16">
        <f>G7*G8</f>
        <v/>
      </c>
    </row>
    <row r="11">
      <c r="B11" s="10" t="inlineStr">
        <is>
          <t>COGS — variable (cloud per study)</t>
        </is>
      </c>
      <c r="C11" s="14">
        <f>C7*Assumptions!C23</f>
        <v/>
      </c>
      <c r="D11" s="14">
        <f>D7*Assumptions!D23</f>
        <v/>
      </c>
      <c r="E11" s="14">
        <f>E7*Assumptions!E23</f>
        <v/>
      </c>
      <c r="F11" s="14">
        <f>F7*Assumptions!F23</f>
        <v/>
      </c>
      <c r="G11" s="14">
        <f>G7*Assumptions!G23</f>
        <v/>
      </c>
    </row>
    <row r="12">
      <c r="B12" s="10" t="inlineStr">
        <is>
          <t>COGS — hosting fixed</t>
        </is>
      </c>
      <c r="C12" s="14">
        <f>Assumptions!C24</f>
        <v/>
      </c>
      <c r="D12" s="14">
        <f>Assumptions!D24</f>
        <v/>
      </c>
      <c r="E12" s="14">
        <f>Assumptions!E24</f>
        <v/>
      </c>
      <c r="F12" s="14">
        <f>Assumptions!F24</f>
        <v/>
      </c>
      <c r="G12" s="14">
        <f>Assumptions!G24</f>
        <v/>
      </c>
    </row>
    <row r="13">
      <c r="B13" s="10" t="inlineStr">
        <is>
          <t>COGS — customer success</t>
        </is>
      </c>
      <c r="C13" s="14">
        <f>C5*Assumptions!C25</f>
        <v/>
      </c>
      <c r="D13" s="14">
        <f>D5*Assumptions!D25</f>
        <v/>
      </c>
      <c r="E13" s="14">
        <f>E5*Assumptions!E25</f>
        <v/>
      </c>
      <c r="F13" s="14">
        <f>F5*Assumptions!F25</f>
        <v/>
      </c>
      <c r="G13" s="14">
        <f>G5*Assumptions!G25</f>
        <v/>
      </c>
    </row>
    <row r="14">
      <c r="B14" s="12" t="inlineStr">
        <is>
          <t>Total COGS</t>
        </is>
      </c>
      <c r="C14" s="13">
        <f>SUM(C11:C13)</f>
        <v/>
      </c>
      <c r="D14" s="13">
        <f>SUM(D11:D13)</f>
        <v/>
      </c>
      <c r="E14" s="13">
        <f>SUM(E11:E13)</f>
        <v/>
      </c>
      <c r="F14" s="13">
        <f>SUM(F11:F13)</f>
        <v/>
      </c>
      <c r="G14" s="13">
        <f>SUM(G11:G13)</f>
        <v/>
      </c>
    </row>
    <row r="15">
      <c r="B15" s="12" t="inlineStr">
        <is>
          <t>Gross profit</t>
        </is>
      </c>
      <c r="C15" s="16">
        <f>C9-C14</f>
        <v/>
      </c>
      <c r="D15" s="16">
        <f>D9-D14</f>
        <v/>
      </c>
      <c r="E15" s="16">
        <f>E9-E14</f>
        <v/>
      </c>
      <c r="F15" s="16">
        <f>F9-F14</f>
        <v/>
      </c>
      <c r="G15" s="16">
        <f>G9-G14</f>
        <v/>
      </c>
    </row>
    <row r="16">
      <c r="B16" s="12" t="inlineStr">
        <is>
          <t>Gross margin %</t>
        </is>
      </c>
      <c r="C16" s="26">
        <f>C15/C9</f>
        <v/>
      </c>
      <c r="D16" s="26">
        <f>D15/D9</f>
        <v/>
      </c>
      <c r="E16" s="26">
        <f>E15/E9</f>
        <v/>
      </c>
      <c r="F16" s="26">
        <f>F15/F9</f>
        <v/>
      </c>
      <c r="G16" s="26">
        <f>G15/G9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B1" s="1" t="inlineStr">
        <is>
          <t>Operating Expenses</t>
        </is>
      </c>
    </row>
    <row r="3">
      <c r="B3" s="9" t="inlineStr">
        <is>
          <t>Driver / Output</t>
        </is>
      </c>
      <c r="C3" s="9" t="inlineStr">
        <is>
          <t>Y1</t>
        </is>
      </c>
      <c r="D3" s="9" t="inlineStr">
        <is>
          <t>Y2</t>
        </is>
      </c>
      <c r="E3" s="9" t="inlineStr">
        <is>
          <t>Y3</t>
        </is>
      </c>
      <c r="F3" s="9" t="inlineStr">
        <is>
          <t>Y4</t>
        </is>
      </c>
      <c r="G3" s="9" t="inlineStr">
        <is>
          <t>Y5</t>
        </is>
      </c>
      <c r="H3" s="9" t="inlineStr">
        <is>
          <t>Notes</t>
        </is>
      </c>
    </row>
    <row r="4">
      <c r="B4" s="10" t="inlineStr">
        <is>
          <t>S&amp;M FTE</t>
        </is>
      </c>
      <c r="C4" s="11">
        <f>Assumptions!C16</f>
        <v/>
      </c>
      <c r="D4" s="11">
        <f>Assumptions!D16</f>
        <v/>
      </c>
      <c r="E4" s="11">
        <f>Assumptions!E16</f>
        <v/>
      </c>
      <c r="F4" s="11">
        <f>Assumptions!F16</f>
        <v/>
      </c>
      <c r="G4" s="11">
        <f>Assumptions!G16</f>
        <v/>
      </c>
    </row>
    <row r="5">
      <c r="B5" s="10" t="inlineStr">
        <is>
          <t>R&amp;D FTE</t>
        </is>
      </c>
      <c r="C5" s="11">
        <f>Assumptions!C17</f>
        <v/>
      </c>
      <c r="D5" s="11">
        <f>Assumptions!D17</f>
        <v/>
      </c>
      <c r="E5" s="11">
        <f>Assumptions!E17</f>
        <v/>
      </c>
      <c r="F5" s="11">
        <f>Assumptions!F17</f>
        <v/>
      </c>
      <c r="G5" s="11">
        <f>Assumptions!G17</f>
        <v/>
      </c>
    </row>
    <row r="6">
      <c r="B6" s="10" t="inlineStr">
        <is>
          <t>Clinical FTE</t>
        </is>
      </c>
      <c r="C6" s="11">
        <f>Assumptions!C18</f>
        <v/>
      </c>
      <c r="D6" s="11">
        <f>Assumptions!D18</f>
        <v/>
      </c>
      <c r="E6" s="11">
        <f>Assumptions!E18</f>
        <v/>
      </c>
      <c r="F6" s="11">
        <f>Assumptions!F18</f>
        <v/>
      </c>
      <c r="G6" s="11">
        <f>Assumptions!G18</f>
        <v/>
      </c>
    </row>
    <row r="7">
      <c r="B7" s="10" t="inlineStr">
        <is>
          <t>G&amp;A FTE</t>
        </is>
      </c>
      <c r="C7" s="11">
        <f>Assumptions!C19</f>
        <v/>
      </c>
      <c r="D7" s="11">
        <f>Assumptions!D19</f>
        <v/>
      </c>
      <c r="E7" s="11">
        <f>Assumptions!E19</f>
        <v/>
      </c>
      <c r="F7" s="11">
        <f>Assumptions!F19</f>
        <v/>
      </c>
      <c r="G7" s="11">
        <f>Assumptions!G19</f>
        <v/>
      </c>
    </row>
    <row r="8">
      <c r="B8" s="12" t="inlineStr">
        <is>
          <t>Total FTE</t>
        </is>
      </c>
      <c r="C8" s="24">
        <f>C4+C5+C6+C7</f>
        <v/>
      </c>
      <c r="D8" s="24">
        <f>D4+D5+D6+D7</f>
        <v/>
      </c>
      <c r="E8" s="24">
        <f>E4+E5+E6+E7</f>
        <v/>
      </c>
      <c r="F8" s="24">
        <f>F4+F5+F6+F7</f>
        <v/>
      </c>
      <c r="G8" s="24">
        <f>G4+G5+G6+G7</f>
        <v/>
      </c>
    </row>
    <row r="9">
      <c r="B9" s="10" t="inlineStr">
        <is>
          <t xml:space="preserve">  Avg S&amp;M FTE</t>
        </is>
      </c>
      <c r="C9" s="17">
        <f>(6+C4)/2</f>
        <v/>
      </c>
      <c r="D9" s="17">
        <f>(C4+D4)/2</f>
        <v/>
      </c>
      <c r="E9" s="17">
        <f>(D4+E4)/2</f>
        <v/>
      </c>
      <c r="F9" s="17">
        <f>(E4+F4)/2</f>
        <v/>
      </c>
      <c r="G9" s="17">
        <f>(F4+G4)/2</f>
        <v/>
      </c>
    </row>
    <row r="10">
      <c r="B10" s="10" t="inlineStr">
        <is>
          <t xml:space="preserve">  Avg R&amp;D FTE</t>
        </is>
      </c>
      <c r="C10" s="17">
        <f>(10+C5)/2</f>
        <v/>
      </c>
      <c r="D10" s="17">
        <f>(C5+D5)/2</f>
        <v/>
      </c>
      <c r="E10" s="17">
        <f>(D5+E5)/2</f>
        <v/>
      </c>
      <c r="F10" s="17">
        <f>(E5+F5)/2</f>
        <v/>
      </c>
      <c r="G10" s="17">
        <f>(F5+G5)/2</f>
        <v/>
      </c>
    </row>
    <row r="11">
      <c r="B11" s="10" t="inlineStr">
        <is>
          <t xml:space="preserve">  Avg Clinical FTE</t>
        </is>
      </c>
      <c r="C11" s="17">
        <f>(2+C6)/2</f>
        <v/>
      </c>
      <c r="D11" s="17">
        <f>(C6+D6)/2</f>
        <v/>
      </c>
      <c r="E11" s="17">
        <f>(D6+E6)/2</f>
        <v/>
      </c>
      <c r="F11" s="17">
        <f>(E6+F6)/2</f>
        <v/>
      </c>
      <c r="G11" s="17">
        <f>(F6+G6)/2</f>
        <v/>
      </c>
    </row>
    <row r="12">
      <c r="B12" s="10" t="inlineStr">
        <is>
          <t xml:space="preserve">  Avg G&amp;A FTE</t>
        </is>
      </c>
      <c r="C12" s="17">
        <f>(4+C7)/2</f>
        <v/>
      </c>
      <c r="D12" s="17">
        <f>(C7+D7)/2</f>
        <v/>
      </c>
      <c r="E12" s="17">
        <f>(D7+E7)/2</f>
        <v/>
      </c>
      <c r="F12" s="17">
        <f>(E7+F7)/2</f>
        <v/>
      </c>
      <c r="G12" s="17">
        <f>(F7+G7)/2</f>
        <v/>
      </c>
    </row>
    <row r="13">
      <c r="B13" s="10" t="inlineStr">
        <is>
          <t>Fully-loaded cost per FTE</t>
        </is>
      </c>
      <c r="C13" s="14">
        <f>Assumptions!C20</f>
        <v/>
      </c>
      <c r="D13" s="14">
        <f>Assumptions!D20</f>
        <v/>
      </c>
      <c r="E13" s="14">
        <f>Assumptions!E20</f>
        <v/>
      </c>
      <c r="F13" s="14">
        <f>Assumptions!F20</f>
        <v/>
      </c>
      <c r="G13" s="14">
        <f>Assumptions!G20</f>
        <v/>
      </c>
    </row>
    <row r="15">
      <c r="B15" s="12" t="inlineStr">
        <is>
          <t>Payroll — S&amp;M</t>
        </is>
      </c>
      <c r="C15" s="14">
        <f>C9*C13</f>
        <v/>
      </c>
      <c r="D15" s="14">
        <f>D9*D13</f>
        <v/>
      </c>
      <c r="E15" s="14">
        <f>E9*E13</f>
        <v/>
      </c>
      <c r="F15" s="14">
        <f>F9*F13</f>
        <v/>
      </c>
      <c r="G15" s="14">
        <f>G9*G13</f>
        <v/>
      </c>
    </row>
    <row r="16">
      <c r="B16" s="12" t="inlineStr">
        <is>
          <t>Payroll — R&amp;D</t>
        </is>
      </c>
      <c r="C16" s="14">
        <f>C10*C13</f>
        <v/>
      </c>
      <c r="D16" s="14">
        <f>D10*D13</f>
        <v/>
      </c>
      <c r="E16" s="14">
        <f>E10*E13</f>
        <v/>
      </c>
      <c r="F16" s="14">
        <f>F10*F13</f>
        <v/>
      </c>
      <c r="G16" s="14">
        <f>G10*G13</f>
        <v/>
      </c>
    </row>
    <row r="17">
      <c r="B17" s="12" t="inlineStr">
        <is>
          <t>Payroll — Clinical</t>
        </is>
      </c>
      <c r="C17" s="14">
        <f>C11*C13</f>
        <v/>
      </c>
      <c r="D17" s="14">
        <f>D11*D13</f>
        <v/>
      </c>
      <c r="E17" s="14">
        <f>E11*E13</f>
        <v/>
      </c>
      <c r="F17" s="14">
        <f>F11*F13</f>
        <v/>
      </c>
      <c r="G17" s="14">
        <f>G11*G13</f>
        <v/>
      </c>
    </row>
    <row r="18">
      <c r="B18" s="12" t="inlineStr">
        <is>
          <t>Payroll — G&amp;A</t>
        </is>
      </c>
      <c r="C18" s="14">
        <f>C12*C13</f>
        <v/>
      </c>
      <c r="D18" s="14">
        <f>D12*D13</f>
        <v/>
      </c>
      <c r="E18" s="14">
        <f>E12*E13</f>
        <v/>
      </c>
      <c r="F18" s="14">
        <f>F12*F13</f>
        <v/>
      </c>
      <c r="G18" s="14">
        <f>G12*G13</f>
        <v/>
      </c>
    </row>
    <row r="20">
      <c r="B20" s="10" t="inlineStr">
        <is>
          <t>T&amp;E (S&amp;M)</t>
        </is>
      </c>
      <c r="C20" s="14">
        <f>C9*Assumptions!C29</f>
        <v/>
      </c>
      <c r="D20" s="14">
        <f>D9*Assumptions!D29</f>
        <v/>
      </c>
      <c r="E20" s="14">
        <f>E9*Assumptions!E29</f>
        <v/>
      </c>
      <c r="F20" s="14">
        <f>F9*Assumptions!F29</f>
        <v/>
      </c>
      <c r="G20" s="14">
        <f>G9*Assumptions!G29</f>
        <v/>
      </c>
    </row>
    <row r="21">
      <c r="B21" s="10" t="inlineStr">
        <is>
          <t>Software &amp; tools (all FTE)</t>
        </is>
      </c>
      <c r="C21" s="14">
        <f>C8*Assumptions!C30</f>
        <v/>
      </c>
      <c r="D21" s="14">
        <f>D8*Assumptions!D30</f>
        <v/>
      </c>
      <c r="E21" s="14">
        <f>E8*Assumptions!E30</f>
        <v/>
      </c>
      <c r="F21" s="14">
        <f>F8*Assumptions!F30</f>
        <v/>
      </c>
      <c r="G21" s="14">
        <f>G8*Assumptions!G30</f>
        <v/>
      </c>
    </row>
    <row r="22">
      <c r="B22" s="10" t="inlineStr">
        <is>
          <t>Marketing programs</t>
        </is>
      </c>
      <c r="C22" s="14">
        <f>Assumptions!C32</f>
        <v/>
      </c>
      <c r="D22" s="14">
        <f>Assumptions!D32</f>
        <v/>
      </c>
      <c r="E22" s="14">
        <f>Assumptions!E32</f>
        <v/>
      </c>
      <c r="F22" s="14">
        <f>Assumptions!F32</f>
        <v/>
      </c>
      <c r="G22" s="14">
        <f>Assumptions!G32</f>
        <v/>
      </c>
    </row>
    <row r="23">
      <c r="B23" s="10" t="inlineStr">
        <is>
          <t>Clinical study spend</t>
        </is>
      </c>
      <c r="C23" s="14">
        <f>Assumptions!C28</f>
        <v/>
      </c>
      <c r="D23" s="14">
        <f>Assumptions!D28</f>
        <v/>
      </c>
      <c r="E23" s="14">
        <f>Assumptions!E28</f>
        <v/>
      </c>
      <c r="F23" s="14">
        <f>Assumptions!F28</f>
        <v/>
      </c>
      <c r="G23" s="14">
        <f>Assumptions!G28</f>
        <v/>
      </c>
    </row>
    <row r="24">
      <c r="B24" s="10" t="inlineStr">
        <is>
          <t>Legal / regulatory</t>
        </is>
      </c>
      <c r="C24" s="14">
        <f>Assumptions!C31</f>
        <v/>
      </c>
      <c r="D24" s="14">
        <f>Assumptions!D31</f>
        <v/>
      </c>
      <c r="E24" s="14">
        <f>Assumptions!E31</f>
        <v/>
      </c>
      <c r="F24" s="14">
        <f>Assumptions!F31</f>
        <v/>
      </c>
      <c r="G24" s="14">
        <f>Assumptions!G31</f>
        <v/>
      </c>
    </row>
    <row r="26">
      <c r="B26" s="12" t="inlineStr">
        <is>
          <t>S&amp;M total</t>
        </is>
      </c>
      <c r="C26" s="16">
        <f>C15+C20+C22</f>
        <v/>
      </c>
      <c r="D26" s="16">
        <f>D15+D20+D22</f>
        <v/>
      </c>
      <c r="E26" s="16">
        <f>E15+E20+E22</f>
        <v/>
      </c>
      <c r="F26" s="16">
        <f>F15+F20+F22</f>
        <v/>
      </c>
      <c r="G26" s="16">
        <f>G15+G20+G22</f>
        <v/>
      </c>
    </row>
    <row r="27">
      <c r="B27" s="12" t="inlineStr">
        <is>
          <t>R&amp;D total</t>
        </is>
      </c>
      <c r="C27" s="16">
        <f>C16</f>
        <v/>
      </c>
      <c r="D27" s="16">
        <f>D16</f>
        <v/>
      </c>
      <c r="E27" s="16">
        <f>E16</f>
        <v/>
      </c>
      <c r="F27" s="16">
        <f>F16</f>
        <v/>
      </c>
      <c r="G27" s="16">
        <f>G16</f>
        <v/>
      </c>
    </row>
    <row r="28">
      <c r="B28" s="12" t="inlineStr">
        <is>
          <t>Clinical total</t>
        </is>
      </c>
      <c r="C28" s="16">
        <f>C17+C23</f>
        <v/>
      </c>
      <c r="D28" s="16">
        <f>D17+D23</f>
        <v/>
      </c>
      <c r="E28" s="16">
        <f>E17+E23</f>
        <v/>
      </c>
      <c r="F28" s="16">
        <f>F17+F23</f>
        <v/>
      </c>
      <c r="G28" s="16">
        <f>G17+G23</f>
        <v/>
      </c>
    </row>
    <row r="29">
      <c r="B29" s="12" t="inlineStr">
        <is>
          <t>G&amp;A total</t>
        </is>
      </c>
      <c r="C29" s="16">
        <f>C18+C24+C21</f>
        <v/>
      </c>
      <c r="D29" s="16">
        <f>D18+D24+D21</f>
        <v/>
      </c>
      <c r="E29" s="16">
        <f>E18+E24+E21</f>
        <v/>
      </c>
      <c r="F29" s="16">
        <f>F18+F24+F21</f>
        <v/>
      </c>
      <c r="G29" s="16">
        <f>G18+G24+G21</f>
        <v/>
      </c>
    </row>
    <row r="30">
      <c r="B30" s="12" t="inlineStr">
        <is>
          <t>Total OpEx</t>
        </is>
      </c>
      <c r="C30" s="16">
        <f>C26+C27+C28+C29</f>
        <v/>
      </c>
      <c r="D30" s="16">
        <f>D26+D27+D28+D29</f>
        <v/>
      </c>
      <c r="E30" s="16">
        <f>E26+E27+E28+E29</f>
        <v/>
      </c>
      <c r="F30" s="16">
        <f>F26+F27+F28+F29</f>
        <v/>
      </c>
      <c r="G30" s="16">
        <f>G26+G27+G28+G29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B1" s="1" t="inlineStr">
        <is>
          <t>Cash Flow — Monthly Y1, Quarterly Y2-Y3, Annual Y4-Y5</t>
        </is>
      </c>
    </row>
    <row r="3">
      <c r="C3" s="9" t="inlineStr">
        <is>
          <t>Y1</t>
        </is>
      </c>
      <c r="D3" s="9" t="inlineStr">
        <is>
          <t>Y1</t>
        </is>
      </c>
      <c r="E3" s="9" t="inlineStr">
        <is>
          <t>Y1</t>
        </is>
      </c>
      <c r="F3" s="9" t="inlineStr">
        <is>
          <t>Y1</t>
        </is>
      </c>
      <c r="G3" s="9" t="inlineStr">
        <is>
          <t>Y1</t>
        </is>
      </c>
      <c r="H3" s="9" t="inlineStr">
        <is>
          <t>Y1</t>
        </is>
      </c>
      <c r="I3" s="9" t="inlineStr">
        <is>
          <t>Y1</t>
        </is>
      </c>
      <c r="J3" s="9" t="inlineStr">
        <is>
          <t>Y1</t>
        </is>
      </c>
      <c r="K3" s="9" t="inlineStr">
        <is>
          <t>Y1</t>
        </is>
      </c>
      <c r="L3" s="9" t="inlineStr">
        <is>
          <t>Y1</t>
        </is>
      </c>
      <c r="M3" s="9" t="inlineStr">
        <is>
          <t>Y1</t>
        </is>
      </c>
      <c r="N3" s="9" t="inlineStr">
        <is>
          <t>Y1</t>
        </is>
      </c>
      <c r="O3" s="9" t="inlineStr">
        <is>
          <t>Y2</t>
        </is>
      </c>
      <c r="P3" s="9" t="inlineStr">
        <is>
          <t>Y2</t>
        </is>
      </c>
      <c r="Q3" s="9" t="inlineStr">
        <is>
          <t>Y2</t>
        </is>
      </c>
      <c r="R3" s="9" t="inlineStr">
        <is>
          <t>Y2</t>
        </is>
      </c>
      <c r="S3" s="9" t="inlineStr">
        <is>
          <t>Y3</t>
        </is>
      </c>
      <c r="T3" s="9" t="inlineStr">
        <is>
          <t>Y3</t>
        </is>
      </c>
      <c r="U3" s="9" t="inlineStr">
        <is>
          <t>Y3</t>
        </is>
      </c>
      <c r="V3" s="9" t="inlineStr">
        <is>
          <t>Y3</t>
        </is>
      </c>
      <c r="W3" s="9" t="inlineStr">
        <is>
          <t>Y4</t>
        </is>
      </c>
      <c r="X3" s="9" t="inlineStr">
        <is>
          <t>Y5</t>
        </is>
      </c>
    </row>
    <row r="4">
      <c r="C4" s="27" t="inlineStr">
        <is>
          <t>M1</t>
        </is>
      </c>
      <c r="D4" s="27" t="inlineStr">
        <is>
          <t>M2</t>
        </is>
      </c>
      <c r="E4" s="27" t="inlineStr">
        <is>
          <t>M3</t>
        </is>
      </c>
      <c r="F4" s="27" t="inlineStr">
        <is>
          <t>M4</t>
        </is>
      </c>
      <c r="G4" s="27" t="inlineStr">
        <is>
          <t>M5</t>
        </is>
      </c>
      <c r="H4" s="27" t="inlineStr">
        <is>
          <t>M6</t>
        </is>
      </c>
      <c r="I4" s="27" t="inlineStr">
        <is>
          <t>M7</t>
        </is>
      </c>
      <c r="J4" s="27" t="inlineStr">
        <is>
          <t>M8</t>
        </is>
      </c>
      <c r="K4" s="27" t="inlineStr">
        <is>
          <t>M9</t>
        </is>
      </c>
      <c r="L4" s="27" t="inlineStr">
        <is>
          <t>M10</t>
        </is>
      </c>
      <c r="M4" s="27" t="inlineStr">
        <is>
          <t>M11</t>
        </is>
      </c>
      <c r="N4" s="27" t="inlineStr">
        <is>
          <t>M12</t>
        </is>
      </c>
      <c r="O4" s="27" t="inlineStr">
        <is>
          <t>Q1</t>
        </is>
      </c>
      <c r="P4" s="27" t="inlineStr">
        <is>
          <t>Q2</t>
        </is>
      </c>
      <c r="Q4" s="27" t="inlineStr">
        <is>
          <t>Q3</t>
        </is>
      </c>
      <c r="R4" s="27" t="inlineStr">
        <is>
          <t>Q4</t>
        </is>
      </c>
      <c r="S4" s="27" t="inlineStr">
        <is>
          <t>Q1</t>
        </is>
      </c>
      <c r="T4" s="27" t="inlineStr">
        <is>
          <t>Q2</t>
        </is>
      </c>
      <c r="U4" s="27" t="inlineStr">
        <is>
          <t>Q3</t>
        </is>
      </c>
      <c r="V4" s="27" t="inlineStr">
        <is>
          <t>Q4</t>
        </is>
      </c>
      <c r="W4" s="27" t="inlineStr">
        <is>
          <t>FY</t>
        </is>
      </c>
      <c r="X4" s="27" t="inlineStr">
        <is>
          <t>FY</t>
        </is>
      </c>
    </row>
    <row r="5">
      <c r="B5" s="12" t="inlineStr">
        <is>
          <t>Revenue</t>
        </is>
      </c>
      <c r="C5" s="14">
        <f>Revenue!C9*0.08333333333333333</f>
        <v/>
      </c>
      <c r="D5" s="14">
        <f>Revenue!C9*0.08333333333333333</f>
        <v/>
      </c>
      <c r="E5" s="14">
        <f>Revenue!C9*0.08333333333333333</f>
        <v/>
      </c>
      <c r="F5" s="14">
        <f>Revenue!C9*0.08333333333333333</f>
        <v/>
      </c>
      <c r="G5" s="14">
        <f>Revenue!C9*0.08333333333333333</f>
        <v/>
      </c>
      <c r="H5" s="14">
        <f>Revenue!C9*0.08333333333333333</f>
        <v/>
      </c>
      <c r="I5" s="14">
        <f>Revenue!C9*0.08333333333333333</f>
        <v/>
      </c>
      <c r="J5" s="14">
        <f>Revenue!C9*0.08333333333333333</f>
        <v/>
      </c>
      <c r="K5" s="14">
        <f>Revenue!C9*0.08333333333333333</f>
        <v/>
      </c>
      <c r="L5" s="14">
        <f>Revenue!C9*0.08333333333333333</f>
        <v/>
      </c>
      <c r="M5" s="14">
        <f>Revenue!C9*0.08333333333333333</f>
        <v/>
      </c>
      <c r="N5" s="14">
        <f>Revenue!C9*0.08333333333333333</f>
        <v/>
      </c>
      <c r="O5" s="14">
        <f>Revenue!D9*0.25</f>
        <v/>
      </c>
      <c r="P5" s="14">
        <f>Revenue!D9*0.25</f>
        <v/>
      </c>
      <c r="Q5" s="14">
        <f>Revenue!D9*0.25</f>
        <v/>
      </c>
      <c r="R5" s="14">
        <f>Revenue!D9*0.25</f>
        <v/>
      </c>
      <c r="S5" s="14">
        <f>Revenue!E9*0.25</f>
        <v/>
      </c>
      <c r="T5" s="14">
        <f>Revenue!E9*0.25</f>
        <v/>
      </c>
      <c r="U5" s="14">
        <f>Revenue!E9*0.25</f>
        <v/>
      </c>
      <c r="V5" s="14">
        <f>Revenue!E9*0.25</f>
        <v/>
      </c>
      <c r="W5" s="14">
        <f>Revenue!F9*1.0</f>
        <v/>
      </c>
      <c r="X5" s="14">
        <f>Revenue!G9*1.0</f>
        <v/>
      </c>
    </row>
    <row r="6">
      <c r="B6" s="10" t="inlineStr">
        <is>
          <t>COGS</t>
        </is>
      </c>
      <c r="C6" s="14">
        <f>Revenue!C14*0.08333333333333333</f>
        <v/>
      </c>
      <c r="D6" s="14">
        <f>Revenue!C14*0.08333333333333333</f>
        <v/>
      </c>
      <c r="E6" s="14">
        <f>Revenue!C14*0.08333333333333333</f>
        <v/>
      </c>
      <c r="F6" s="14">
        <f>Revenue!C14*0.08333333333333333</f>
        <v/>
      </c>
      <c r="G6" s="14">
        <f>Revenue!C14*0.08333333333333333</f>
        <v/>
      </c>
      <c r="H6" s="14">
        <f>Revenue!C14*0.08333333333333333</f>
        <v/>
      </c>
      <c r="I6" s="14">
        <f>Revenue!C14*0.08333333333333333</f>
        <v/>
      </c>
      <c r="J6" s="14">
        <f>Revenue!C14*0.08333333333333333</f>
        <v/>
      </c>
      <c r="K6" s="14">
        <f>Revenue!C14*0.08333333333333333</f>
        <v/>
      </c>
      <c r="L6" s="14">
        <f>Revenue!C14*0.08333333333333333</f>
        <v/>
      </c>
      <c r="M6" s="14">
        <f>Revenue!C14*0.08333333333333333</f>
        <v/>
      </c>
      <c r="N6" s="14">
        <f>Revenue!C14*0.08333333333333333</f>
        <v/>
      </c>
      <c r="O6" s="14">
        <f>Revenue!D14*0.25</f>
        <v/>
      </c>
      <c r="P6" s="14">
        <f>Revenue!D14*0.25</f>
        <v/>
      </c>
      <c r="Q6" s="14">
        <f>Revenue!D14*0.25</f>
        <v/>
      </c>
      <c r="R6" s="14">
        <f>Revenue!D14*0.25</f>
        <v/>
      </c>
      <c r="S6" s="14">
        <f>Revenue!E14*0.25</f>
        <v/>
      </c>
      <c r="T6" s="14">
        <f>Revenue!E14*0.25</f>
        <v/>
      </c>
      <c r="U6" s="14">
        <f>Revenue!E14*0.25</f>
        <v/>
      </c>
      <c r="V6" s="14">
        <f>Revenue!E14*0.25</f>
        <v/>
      </c>
      <c r="W6" s="14">
        <f>Revenue!F14*1.0</f>
        <v/>
      </c>
      <c r="X6" s="14">
        <f>Revenue!G14*1.0</f>
        <v/>
      </c>
    </row>
    <row r="7">
      <c r="B7" s="12" t="inlineStr">
        <is>
          <t>Gross profit</t>
        </is>
      </c>
      <c r="C7" s="16">
        <f>C5-C6</f>
        <v/>
      </c>
      <c r="D7" s="16">
        <f>D5-D6</f>
        <v/>
      </c>
      <c r="E7" s="16">
        <f>E5-E6</f>
        <v/>
      </c>
      <c r="F7" s="16">
        <f>F5-F6</f>
        <v/>
      </c>
      <c r="G7" s="16">
        <f>G5-G6</f>
        <v/>
      </c>
      <c r="H7" s="16">
        <f>H5-H6</f>
        <v/>
      </c>
      <c r="I7" s="16">
        <f>I5-I6</f>
        <v/>
      </c>
      <c r="J7" s="16">
        <f>J5-J6</f>
        <v/>
      </c>
      <c r="K7" s="16">
        <f>K5-K6</f>
        <v/>
      </c>
      <c r="L7" s="16">
        <f>L5-L6</f>
        <v/>
      </c>
      <c r="M7" s="16">
        <f>M5-M6</f>
        <v/>
      </c>
      <c r="N7" s="16">
        <f>N5-N6</f>
        <v/>
      </c>
      <c r="O7" s="16">
        <f>O5-O6</f>
        <v/>
      </c>
      <c r="P7" s="16">
        <f>P5-P6</f>
        <v/>
      </c>
      <c r="Q7" s="16">
        <f>Q5-Q6</f>
        <v/>
      </c>
      <c r="R7" s="16">
        <f>R5-R6</f>
        <v/>
      </c>
      <c r="S7" s="16">
        <f>S5-S6</f>
        <v/>
      </c>
      <c r="T7" s="16">
        <f>T5-T6</f>
        <v/>
      </c>
      <c r="U7" s="16">
        <f>U5-U6</f>
        <v/>
      </c>
      <c r="V7" s="16">
        <f>V5-V6</f>
        <v/>
      </c>
      <c r="W7" s="16">
        <f>W5-W6</f>
        <v/>
      </c>
      <c r="X7" s="16">
        <f>X5-X6</f>
        <v/>
      </c>
    </row>
    <row r="8">
      <c r="B8" s="10" t="inlineStr">
        <is>
          <t>OpEx — S&amp;M</t>
        </is>
      </c>
      <c r="C8" s="14">
        <f>OpEx!C26*0.08333333333333333</f>
        <v/>
      </c>
      <c r="D8" s="14">
        <f>OpEx!C26*0.08333333333333333</f>
        <v/>
      </c>
      <c r="E8" s="14">
        <f>OpEx!C26*0.08333333333333333</f>
        <v/>
      </c>
      <c r="F8" s="14">
        <f>OpEx!C26*0.08333333333333333</f>
        <v/>
      </c>
      <c r="G8" s="14">
        <f>OpEx!C26*0.08333333333333333</f>
        <v/>
      </c>
      <c r="H8" s="14">
        <f>OpEx!C26*0.08333333333333333</f>
        <v/>
      </c>
      <c r="I8" s="14">
        <f>OpEx!C26*0.08333333333333333</f>
        <v/>
      </c>
      <c r="J8" s="14">
        <f>OpEx!C26*0.08333333333333333</f>
        <v/>
      </c>
      <c r="K8" s="14">
        <f>OpEx!C26*0.08333333333333333</f>
        <v/>
      </c>
      <c r="L8" s="14">
        <f>OpEx!C26*0.08333333333333333</f>
        <v/>
      </c>
      <c r="M8" s="14">
        <f>OpEx!C26*0.08333333333333333</f>
        <v/>
      </c>
      <c r="N8" s="14">
        <f>OpEx!C26*0.08333333333333333</f>
        <v/>
      </c>
      <c r="O8" s="14">
        <f>OpEx!D26*0.25</f>
        <v/>
      </c>
      <c r="P8" s="14">
        <f>OpEx!D26*0.25</f>
        <v/>
      </c>
      <c r="Q8" s="14">
        <f>OpEx!D26*0.25</f>
        <v/>
      </c>
      <c r="R8" s="14">
        <f>OpEx!D26*0.25</f>
        <v/>
      </c>
      <c r="S8" s="14">
        <f>OpEx!E26*0.25</f>
        <v/>
      </c>
      <c r="T8" s="14">
        <f>OpEx!E26*0.25</f>
        <v/>
      </c>
      <c r="U8" s="14">
        <f>OpEx!E26*0.25</f>
        <v/>
      </c>
      <c r="V8" s="14">
        <f>OpEx!E26*0.25</f>
        <v/>
      </c>
      <c r="W8" s="14">
        <f>OpEx!F26*1.0</f>
        <v/>
      </c>
      <c r="X8" s="14">
        <f>OpEx!G26*1.0</f>
        <v/>
      </c>
    </row>
    <row r="9">
      <c r="B9" s="10" t="inlineStr">
        <is>
          <t>OpEx — R&amp;D</t>
        </is>
      </c>
      <c r="C9" s="14">
        <f>OpEx!C27*0.08333333333333333</f>
        <v/>
      </c>
      <c r="D9" s="14">
        <f>OpEx!C27*0.08333333333333333</f>
        <v/>
      </c>
      <c r="E9" s="14">
        <f>OpEx!C27*0.08333333333333333</f>
        <v/>
      </c>
      <c r="F9" s="14">
        <f>OpEx!C27*0.08333333333333333</f>
        <v/>
      </c>
      <c r="G9" s="14">
        <f>OpEx!C27*0.08333333333333333</f>
        <v/>
      </c>
      <c r="H9" s="14">
        <f>OpEx!C27*0.08333333333333333</f>
        <v/>
      </c>
      <c r="I9" s="14">
        <f>OpEx!C27*0.08333333333333333</f>
        <v/>
      </c>
      <c r="J9" s="14">
        <f>OpEx!C27*0.08333333333333333</f>
        <v/>
      </c>
      <c r="K9" s="14">
        <f>OpEx!C27*0.08333333333333333</f>
        <v/>
      </c>
      <c r="L9" s="14">
        <f>OpEx!C27*0.08333333333333333</f>
        <v/>
      </c>
      <c r="M9" s="14">
        <f>OpEx!C27*0.08333333333333333</f>
        <v/>
      </c>
      <c r="N9" s="14">
        <f>OpEx!C27*0.08333333333333333</f>
        <v/>
      </c>
      <c r="O9" s="14">
        <f>OpEx!D27*0.25</f>
        <v/>
      </c>
      <c r="P9" s="14">
        <f>OpEx!D27*0.25</f>
        <v/>
      </c>
      <c r="Q9" s="14">
        <f>OpEx!D27*0.25</f>
        <v/>
      </c>
      <c r="R9" s="14">
        <f>OpEx!D27*0.25</f>
        <v/>
      </c>
      <c r="S9" s="14">
        <f>OpEx!E27*0.25</f>
        <v/>
      </c>
      <c r="T9" s="14">
        <f>OpEx!E27*0.25</f>
        <v/>
      </c>
      <c r="U9" s="14">
        <f>OpEx!E27*0.25</f>
        <v/>
      </c>
      <c r="V9" s="14">
        <f>OpEx!E27*0.25</f>
        <v/>
      </c>
      <c r="W9" s="14">
        <f>OpEx!F27*1.0</f>
        <v/>
      </c>
      <c r="X9" s="14">
        <f>OpEx!G27*1.0</f>
        <v/>
      </c>
    </row>
    <row r="10">
      <c r="B10" s="10" t="inlineStr">
        <is>
          <t>OpEx — Clinical</t>
        </is>
      </c>
      <c r="C10" s="14">
        <f>OpEx!C28*0.08333333333333333</f>
        <v/>
      </c>
      <c r="D10" s="14">
        <f>OpEx!C28*0.08333333333333333</f>
        <v/>
      </c>
      <c r="E10" s="14">
        <f>OpEx!C28*0.08333333333333333</f>
        <v/>
      </c>
      <c r="F10" s="14">
        <f>OpEx!C28*0.08333333333333333</f>
        <v/>
      </c>
      <c r="G10" s="14">
        <f>OpEx!C28*0.08333333333333333</f>
        <v/>
      </c>
      <c r="H10" s="14">
        <f>OpEx!C28*0.08333333333333333</f>
        <v/>
      </c>
      <c r="I10" s="14">
        <f>OpEx!C28*0.08333333333333333</f>
        <v/>
      </c>
      <c r="J10" s="14">
        <f>OpEx!C28*0.08333333333333333</f>
        <v/>
      </c>
      <c r="K10" s="14">
        <f>OpEx!C28*0.08333333333333333</f>
        <v/>
      </c>
      <c r="L10" s="14">
        <f>OpEx!C28*0.08333333333333333</f>
        <v/>
      </c>
      <c r="M10" s="14">
        <f>OpEx!C28*0.08333333333333333</f>
        <v/>
      </c>
      <c r="N10" s="14">
        <f>OpEx!C28*0.08333333333333333</f>
        <v/>
      </c>
      <c r="O10" s="14">
        <f>OpEx!D28*0.25</f>
        <v/>
      </c>
      <c r="P10" s="14">
        <f>OpEx!D28*0.25</f>
        <v/>
      </c>
      <c r="Q10" s="14">
        <f>OpEx!D28*0.25</f>
        <v/>
      </c>
      <c r="R10" s="14">
        <f>OpEx!D28*0.25</f>
        <v/>
      </c>
      <c r="S10" s="14">
        <f>OpEx!E28*0.25</f>
        <v/>
      </c>
      <c r="T10" s="14">
        <f>OpEx!E28*0.25</f>
        <v/>
      </c>
      <c r="U10" s="14">
        <f>OpEx!E28*0.25</f>
        <v/>
      </c>
      <c r="V10" s="14">
        <f>OpEx!E28*0.25</f>
        <v/>
      </c>
      <c r="W10" s="14">
        <f>OpEx!F28*1.0</f>
        <v/>
      </c>
      <c r="X10" s="14">
        <f>OpEx!G28*1.0</f>
        <v/>
      </c>
    </row>
    <row r="11">
      <c r="B11" s="10" t="inlineStr">
        <is>
          <t>OpEx — G&amp;A</t>
        </is>
      </c>
      <c r="C11" s="14">
        <f>OpEx!C29*0.08333333333333333</f>
        <v/>
      </c>
      <c r="D11" s="14">
        <f>OpEx!C29*0.08333333333333333</f>
        <v/>
      </c>
      <c r="E11" s="14">
        <f>OpEx!C29*0.08333333333333333</f>
        <v/>
      </c>
      <c r="F11" s="14">
        <f>OpEx!C29*0.08333333333333333</f>
        <v/>
      </c>
      <c r="G11" s="14">
        <f>OpEx!C29*0.08333333333333333</f>
        <v/>
      </c>
      <c r="H11" s="14">
        <f>OpEx!C29*0.08333333333333333</f>
        <v/>
      </c>
      <c r="I11" s="14">
        <f>OpEx!C29*0.08333333333333333</f>
        <v/>
      </c>
      <c r="J11" s="14">
        <f>OpEx!C29*0.08333333333333333</f>
        <v/>
      </c>
      <c r="K11" s="14">
        <f>OpEx!C29*0.08333333333333333</f>
        <v/>
      </c>
      <c r="L11" s="14">
        <f>OpEx!C29*0.08333333333333333</f>
        <v/>
      </c>
      <c r="M11" s="14">
        <f>OpEx!C29*0.08333333333333333</f>
        <v/>
      </c>
      <c r="N11" s="14">
        <f>OpEx!C29*0.08333333333333333</f>
        <v/>
      </c>
      <c r="O11" s="14">
        <f>OpEx!D29*0.25</f>
        <v/>
      </c>
      <c r="P11" s="14">
        <f>OpEx!D29*0.25</f>
        <v/>
      </c>
      <c r="Q11" s="14">
        <f>OpEx!D29*0.25</f>
        <v/>
      </c>
      <c r="R11" s="14">
        <f>OpEx!D29*0.25</f>
        <v/>
      </c>
      <c r="S11" s="14">
        <f>OpEx!E29*0.25</f>
        <v/>
      </c>
      <c r="T11" s="14">
        <f>OpEx!E29*0.25</f>
        <v/>
      </c>
      <c r="U11" s="14">
        <f>OpEx!E29*0.25</f>
        <v/>
      </c>
      <c r="V11" s="14">
        <f>OpEx!E29*0.25</f>
        <v/>
      </c>
      <c r="W11" s="14">
        <f>OpEx!F29*1.0</f>
        <v/>
      </c>
      <c r="X11" s="14">
        <f>OpEx!G29*1.0</f>
        <v/>
      </c>
    </row>
    <row r="12">
      <c r="B12" s="12" t="inlineStr">
        <is>
          <t>Total OpEx</t>
        </is>
      </c>
      <c r="C12" s="16">
        <f>SUM(C8:C11)</f>
        <v/>
      </c>
      <c r="D12" s="16">
        <f>SUM(D8:D11)</f>
        <v/>
      </c>
      <c r="E12" s="16">
        <f>SUM(E8:E11)</f>
        <v/>
      </c>
      <c r="F12" s="16">
        <f>SUM(F8:F11)</f>
        <v/>
      </c>
      <c r="G12" s="16">
        <f>SUM(G8:G11)</f>
        <v/>
      </c>
      <c r="H12" s="16">
        <f>SUM(H8:H11)</f>
        <v/>
      </c>
      <c r="I12" s="16">
        <f>SUM(I8:I11)</f>
        <v/>
      </c>
      <c r="J12" s="16">
        <f>SUM(J8:J11)</f>
        <v/>
      </c>
      <c r="K12" s="16">
        <f>SUM(K8:K11)</f>
        <v/>
      </c>
      <c r="L12" s="16">
        <f>SUM(L8:L11)</f>
        <v/>
      </c>
      <c r="M12" s="16">
        <f>SUM(M8:M11)</f>
        <v/>
      </c>
      <c r="N12" s="16">
        <f>SUM(N8:N11)</f>
        <v/>
      </c>
      <c r="O12" s="16">
        <f>SUM(O8:O11)</f>
        <v/>
      </c>
      <c r="P12" s="16">
        <f>SUM(P8:P11)</f>
        <v/>
      </c>
      <c r="Q12" s="16">
        <f>SUM(Q8:Q11)</f>
        <v/>
      </c>
      <c r="R12" s="16">
        <f>SUM(R8:R11)</f>
        <v/>
      </c>
      <c r="S12" s="16">
        <f>SUM(S8:S11)</f>
        <v/>
      </c>
      <c r="T12" s="16">
        <f>SUM(T8:T11)</f>
        <v/>
      </c>
      <c r="U12" s="16">
        <f>SUM(U8:U11)</f>
        <v/>
      </c>
      <c r="V12" s="16">
        <f>SUM(V8:V11)</f>
        <v/>
      </c>
      <c r="W12" s="16">
        <f>SUM(W8:W11)</f>
        <v/>
      </c>
      <c r="X12" s="16">
        <f>SUM(X8:X11)</f>
        <v/>
      </c>
    </row>
    <row r="13">
      <c r="B13" s="12" t="inlineStr">
        <is>
          <t>EBITDA</t>
        </is>
      </c>
      <c r="C13" s="16">
        <f>C7-C12</f>
        <v/>
      </c>
      <c r="D13" s="16">
        <f>D7-D12</f>
        <v/>
      </c>
      <c r="E13" s="16">
        <f>E7-E12</f>
        <v/>
      </c>
      <c r="F13" s="16">
        <f>F7-F12</f>
        <v/>
      </c>
      <c r="G13" s="16">
        <f>G7-G12</f>
        <v/>
      </c>
      <c r="H13" s="16">
        <f>H7-H12</f>
        <v/>
      </c>
      <c r="I13" s="16">
        <f>I7-I12</f>
        <v/>
      </c>
      <c r="J13" s="16">
        <f>J7-J12</f>
        <v/>
      </c>
      <c r="K13" s="16">
        <f>K7-K12</f>
        <v/>
      </c>
      <c r="L13" s="16">
        <f>L7-L12</f>
        <v/>
      </c>
      <c r="M13" s="16">
        <f>M7-M12</f>
        <v/>
      </c>
      <c r="N13" s="16">
        <f>N7-N12</f>
        <v/>
      </c>
      <c r="O13" s="16">
        <f>O7-O12</f>
        <v/>
      </c>
      <c r="P13" s="16">
        <f>P7-P12</f>
        <v/>
      </c>
      <c r="Q13" s="16">
        <f>Q7-Q12</f>
        <v/>
      </c>
      <c r="R13" s="16">
        <f>R7-R12</f>
        <v/>
      </c>
      <c r="S13" s="16">
        <f>S7-S12</f>
        <v/>
      </c>
      <c r="T13" s="16">
        <f>T7-T12</f>
        <v/>
      </c>
      <c r="U13" s="16">
        <f>U7-U12</f>
        <v/>
      </c>
      <c r="V13" s="16">
        <f>V7-V12</f>
        <v/>
      </c>
      <c r="W13" s="16">
        <f>W7-W12</f>
        <v/>
      </c>
      <c r="X13" s="16">
        <f>X7-X12</f>
        <v/>
      </c>
    </row>
    <row r="15">
      <c r="B15" s="10" t="inlineStr">
        <is>
          <t>Series A inflow</t>
        </is>
      </c>
      <c r="C15" s="14">
        <f>Assumptions!C35</f>
        <v/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</row>
    <row r="16">
      <c r="B16" s="10" t="inlineStr">
        <is>
          <t>SBIR grant inflow</t>
        </is>
      </c>
      <c r="C16" s="14">
        <f>Assumptions!C36/2*0.08333333333333333</f>
        <v/>
      </c>
      <c r="D16" s="14">
        <f>Assumptions!C36/2*0.08333333333333333</f>
        <v/>
      </c>
      <c r="E16" s="14">
        <f>Assumptions!C36/2*0.08333333333333333</f>
        <v/>
      </c>
      <c r="F16" s="14">
        <f>Assumptions!C36/2*0.08333333333333333</f>
        <v/>
      </c>
      <c r="G16" s="14">
        <f>Assumptions!C36/2*0.08333333333333333</f>
        <v/>
      </c>
      <c r="H16" s="14">
        <f>Assumptions!C36/2*0.08333333333333333</f>
        <v/>
      </c>
      <c r="I16" s="14">
        <f>Assumptions!C36/2*0.08333333333333333</f>
        <v/>
      </c>
      <c r="J16" s="14">
        <f>Assumptions!C36/2*0.08333333333333333</f>
        <v/>
      </c>
      <c r="K16" s="14">
        <f>Assumptions!C36/2*0.08333333333333333</f>
        <v/>
      </c>
      <c r="L16" s="14">
        <f>Assumptions!C36/2*0.08333333333333333</f>
        <v/>
      </c>
      <c r="M16" s="14">
        <f>Assumptions!C36/2*0.08333333333333333</f>
        <v/>
      </c>
      <c r="N16" s="14">
        <f>Assumptions!C36/2*0.08333333333333333</f>
        <v/>
      </c>
      <c r="O16" s="14">
        <f>Assumptions!C36/2*0.25</f>
        <v/>
      </c>
      <c r="P16" s="14">
        <f>Assumptions!C36/2*0.25</f>
        <v/>
      </c>
      <c r="Q16" s="14">
        <f>Assumptions!C36/2*0.25</f>
        <v/>
      </c>
      <c r="R16" s="14">
        <f>Assumptions!C36/2*0.25</f>
        <v/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</row>
    <row r="17">
      <c r="B17" s="12" t="inlineStr">
        <is>
          <t>Net cash flow</t>
        </is>
      </c>
      <c r="C17" s="16">
        <f>C13+C15+C16</f>
        <v/>
      </c>
      <c r="D17" s="16">
        <f>D13+D15+D16</f>
        <v/>
      </c>
      <c r="E17" s="16">
        <f>E13+E15+E16</f>
        <v/>
      </c>
      <c r="F17" s="16">
        <f>F13+F15+F16</f>
        <v/>
      </c>
      <c r="G17" s="16">
        <f>G13+G15+G16</f>
        <v/>
      </c>
      <c r="H17" s="16">
        <f>H13+H15+H16</f>
        <v/>
      </c>
      <c r="I17" s="16">
        <f>I13+I15+I16</f>
        <v/>
      </c>
      <c r="J17" s="16">
        <f>J13+J15+J16</f>
        <v/>
      </c>
      <c r="K17" s="16">
        <f>K13+K15+K16</f>
        <v/>
      </c>
      <c r="L17" s="16">
        <f>L13+L15+L16</f>
        <v/>
      </c>
      <c r="M17" s="16">
        <f>M13+M15+M16</f>
        <v/>
      </c>
      <c r="N17" s="16">
        <f>N13+N15+N16</f>
        <v/>
      </c>
      <c r="O17" s="16">
        <f>O13+O15+O16</f>
        <v/>
      </c>
      <c r="P17" s="16">
        <f>P13+P15+P16</f>
        <v/>
      </c>
      <c r="Q17" s="16">
        <f>Q13+Q15+Q16</f>
        <v/>
      </c>
      <c r="R17" s="16">
        <f>R13+R15+R16</f>
        <v/>
      </c>
      <c r="S17" s="16">
        <f>S13+S15+S16</f>
        <v/>
      </c>
      <c r="T17" s="16">
        <f>T13+T15+T16</f>
        <v/>
      </c>
      <c r="U17" s="16">
        <f>U13+U15+U16</f>
        <v/>
      </c>
      <c r="V17" s="16">
        <f>V13+V15+V16</f>
        <v/>
      </c>
      <c r="W17" s="16">
        <f>W13+W15+W16</f>
        <v/>
      </c>
      <c r="X17" s="16">
        <f>X13+X15+X16</f>
        <v/>
      </c>
    </row>
    <row r="18">
      <c r="B18" s="12" t="inlineStr">
        <is>
          <t>Beginning cash</t>
        </is>
      </c>
      <c r="C18" s="13">
        <f>Assumptions!C37</f>
        <v/>
      </c>
      <c r="D18" s="13">
        <f>C19</f>
        <v/>
      </c>
      <c r="E18" s="13">
        <f>D19</f>
        <v/>
      </c>
      <c r="F18" s="13">
        <f>E19</f>
        <v/>
      </c>
      <c r="G18" s="13">
        <f>F19</f>
        <v/>
      </c>
      <c r="H18" s="13">
        <f>G19</f>
        <v/>
      </c>
      <c r="I18" s="13">
        <f>H19</f>
        <v/>
      </c>
      <c r="J18" s="13">
        <f>I19</f>
        <v/>
      </c>
      <c r="K18" s="13">
        <f>J19</f>
        <v/>
      </c>
      <c r="L18" s="13">
        <f>K19</f>
        <v/>
      </c>
      <c r="M18" s="13">
        <f>L19</f>
        <v/>
      </c>
      <c r="N18" s="13">
        <f>M19</f>
        <v/>
      </c>
      <c r="O18" s="13">
        <f>N19</f>
        <v/>
      </c>
      <c r="P18" s="13">
        <f>O19</f>
        <v/>
      </c>
      <c r="Q18" s="13">
        <f>P19</f>
        <v/>
      </c>
      <c r="R18" s="13">
        <f>Q19</f>
        <v/>
      </c>
      <c r="S18" s="13">
        <f>R19</f>
        <v/>
      </c>
      <c r="T18" s="13">
        <f>S19</f>
        <v/>
      </c>
      <c r="U18" s="13">
        <f>T19</f>
        <v/>
      </c>
      <c r="V18" s="13">
        <f>U19</f>
        <v/>
      </c>
      <c r="W18" s="13">
        <f>V19</f>
        <v/>
      </c>
      <c r="X18" s="13">
        <f>W19</f>
        <v/>
      </c>
    </row>
    <row r="19">
      <c r="B19" s="12" t="inlineStr">
        <is>
          <t>Ending cash</t>
        </is>
      </c>
      <c r="C19" s="16">
        <f>C18+C17</f>
        <v/>
      </c>
      <c r="D19" s="16">
        <f>D18+D17</f>
        <v/>
      </c>
      <c r="E19" s="16">
        <f>E18+E17</f>
        <v/>
      </c>
      <c r="F19" s="16">
        <f>F18+F17</f>
        <v/>
      </c>
      <c r="G19" s="16">
        <f>G18+G17</f>
        <v/>
      </c>
      <c r="H19" s="16">
        <f>H18+H17</f>
        <v/>
      </c>
      <c r="I19" s="16">
        <f>I18+I17</f>
        <v/>
      </c>
      <c r="J19" s="16">
        <f>J18+J17</f>
        <v/>
      </c>
      <c r="K19" s="16">
        <f>K18+K17</f>
        <v/>
      </c>
      <c r="L19" s="16">
        <f>L18+L17</f>
        <v/>
      </c>
      <c r="M19" s="16">
        <f>M18+M17</f>
        <v/>
      </c>
      <c r="N19" s="16">
        <f>N18+N17</f>
        <v/>
      </c>
      <c r="O19" s="16">
        <f>O18+O17</f>
        <v/>
      </c>
      <c r="P19" s="16">
        <f>P18+P17</f>
        <v/>
      </c>
      <c r="Q19" s="16">
        <f>Q18+Q17</f>
        <v/>
      </c>
      <c r="R19" s="16">
        <f>R18+R17</f>
        <v/>
      </c>
      <c r="S19" s="16">
        <f>S18+S17</f>
        <v/>
      </c>
      <c r="T19" s="16">
        <f>T18+T17</f>
        <v/>
      </c>
      <c r="U19" s="16">
        <f>U18+U17</f>
        <v/>
      </c>
      <c r="V19" s="16">
        <f>V18+V17</f>
        <v/>
      </c>
      <c r="W19" s="16">
        <f>W18+W17</f>
        <v/>
      </c>
      <c r="X19" s="16">
        <f>X18+X17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B1" s="1" t="inlineStr">
        <is>
          <t>Scenario Toggles — Base / Conservative / Upside</t>
        </is>
      </c>
    </row>
    <row r="2">
      <c r="B2" s="4" t="inlineStr">
        <is>
          <t>Read-only view: scenarios are presented as factor adjustments to base drivers. Use Sensitivities tab for ±20% / ±30% sweeps.</t>
        </is>
      </c>
    </row>
    <row r="4">
      <c r="B4" s="9" t="inlineStr">
        <is>
          <t>Driver</t>
        </is>
      </c>
      <c r="C4" s="9" t="inlineStr">
        <is>
          <t>Conservative</t>
        </is>
      </c>
      <c r="D4" s="9" t="inlineStr">
        <is>
          <t>Base</t>
        </is>
      </c>
      <c r="E4" s="9" t="inlineStr">
        <is>
          <t>Upside</t>
        </is>
      </c>
      <c r="F4" s="9" t="inlineStr">
        <is>
          <t>Notes</t>
        </is>
      </c>
    </row>
    <row r="5">
      <c r="B5" s="10" t="inlineStr">
        <is>
          <t>Customer ramp factor (vs. Base)</t>
        </is>
      </c>
      <c r="C5" s="22" t="n">
        <v>0.7</v>
      </c>
      <c r="D5" s="22" t="n">
        <v>1</v>
      </c>
      <c r="E5" s="22" t="n">
        <v>1.3</v>
      </c>
      <c r="F5" s="20" t="inlineStr">
        <is>
          <t>Conservative reflects slower hospital procurement; upside reflects channel partner uplift.</t>
        </is>
      </c>
    </row>
    <row r="6">
      <c r="B6" s="10" t="inlineStr">
        <is>
          <t>ASP factor (vs. Base)</t>
        </is>
      </c>
      <c r="C6" s="22" t="n">
        <v>0.85</v>
      </c>
      <c r="D6" s="22" t="n">
        <v>1</v>
      </c>
      <c r="E6" s="22" t="n">
        <v>1.15</v>
      </c>
      <c r="F6" s="20" t="inlineStr">
        <is>
          <t>Reimbursement (CPT III code timing) is the swing factor.</t>
        </is>
      </c>
    </row>
    <row r="7">
      <c r="B7" s="10" t="inlineStr">
        <is>
          <t>Echos per customer factor</t>
        </is>
      </c>
      <c r="C7" s="22" t="n">
        <v>0.85</v>
      </c>
      <c r="D7" s="22" t="n">
        <v>1</v>
      </c>
      <c r="E7" s="22" t="n">
        <v>1.15</v>
      </c>
      <c r="F7" s="20" t="inlineStr">
        <is>
          <t>Health-system penetration depth.</t>
        </is>
      </c>
    </row>
    <row r="8">
      <c r="B8" s="10" t="inlineStr">
        <is>
          <t>Churn (absolute %)</t>
        </is>
      </c>
      <c r="C8" s="22" t="n">
        <v>0.12</v>
      </c>
      <c r="D8" s="22" t="n">
        <v>0.08</v>
      </c>
      <c r="E8" s="22" t="n">
        <v>0.05</v>
      </c>
      <c r="F8" s="20" t="inlineStr">
        <is>
          <t>Conservative assumes one large logo loss in Y2-Y3.</t>
        </is>
      </c>
    </row>
    <row r="9">
      <c r="B9" s="10" t="inlineStr">
        <is>
          <t>OpEx ramp factor</t>
        </is>
      </c>
      <c r="C9" s="22" t="n">
        <v>1.1</v>
      </c>
      <c r="D9" s="22" t="n">
        <v>1</v>
      </c>
      <c r="E9" s="22" t="n">
        <v>0.95</v>
      </c>
      <c r="F9" s="20" t="inlineStr">
        <is>
          <t>Conservative assumes longer sales cycles requiring more headcount.</t>
        </is>
      </c>
    </row>
    <row r="11">
      <c r="B11" s="12" t="inlineStr">
        <is>
          <t>Implied Y3 revenue (illustrative)</t>
        </is>
      </c>
    </row>
    <row r="12">
      <c r="B12" s="10" t="inlineStr">
        <is>
          <t xml:space="preserve">  Conservative</t>
        </is>
      </c>
      <c r="C12" s="14">
        <f>Revenue!E10*C5*C6*C7</f>
        <v/>
      </c>
      <c r="D12" s="20" t="inlineStr">
        <is>
          <t>(formula references Revenue tab Y3 revenue scaled by factors)</t>
        </is>
      </c>
    </row>
    <row r="13">
      <c r="B13" s="10" t="inlineStr">
        <is>
          <t xml:space="preserve">  Base</t>
        </is>
      </c>
      <c r="C13" s="14">
        <f>Revenue!E10*D5*D6*D7</f>
        <v/>
      </c>
    </row>
    <row r="14">
      <c r="B14" s="10" t="inlineStr">
        <is>
          <t xml:space="preserve">  Upside</t>
        </is>
      </c>
      <c r="C14" s="14">
        <f>Revenue!E10*E5*E6*E7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B1" s="1" t="inlineStr">
        <is>
          <t>Sensitivities — Y3 Revenue &amp; EBITDA</t>
        </is>
      </c>
    </row>
    <row r="4">
      <c r="B4" s="9" t="inlineStr">
        <is>
          <t>Sweep</t>
        </is>
      </c>
      <c r="C4" s="9" t="inlineStr">
        <is>
          <t>-20% / -30%</t>
        </is>
      </c>
      <c r="D4" s="9" t="inlineStr">
        <is>
          <t>-10% / -15%</t>
        </is>
      </c>
      <c r="E4" s="9" t="inlineStr">
        <is>
          <t>Base</t>
        </is>
      </c>
      <c r="F4" s="9" t="inlineStr">
        <is>
          <t>+10% / +15%</t>
        </is>
      </c>
      <c r="G4" s="9" t="inlineStr">
        <is>
          <t>+20% / +30%</t>
        </is>
      </c>
      <c r="H4" s="9" t="inlineStr">
        <is>
          <t>Notes</t>
        </is>
      </c>
    </row>
    <row r="5">
      <c r="B5" s="12" t="inlineStr">
        <is>
          <t>ASP factor</t>
        </is>
      </c>
      <c r="C5" s="22" t="n">
        <v>0.8</v>
      </c>
      <c r="D5" s="22" t="n">
        <v>0.9</v>
      </c>
      <c r="E5" s="22" t="n">
        <v>1</v>
      </c>
      <c r="F5" s="22" t="n">
        <v>1.1</v>
      </c>
      <c r="G5" s="22" t="n">
        <v>1.2</v>
      </c>
      <c r="H5" s="20" t="inlineStr">
        <is>
          <t>Direct lever on revenue.</t>
        </is>
      </c>
    </row>
    <row r="6">
      <c r="B6" s="10" t="inlineStr">
        <is>
          <t xml:space="preserve">  Y3 Revenue at sensitivity</t>
        </is>
      </c>
      <c r="C6" s="14">
        <f>Revenue!E10*C5</f>
        <v/>
      </c>
      <c r="D6" s="14">
        <f>Revenue!E10*D5</f>
        <v/>
      </c>
      <c r="E6" s="14">
        <f>Revenue!E10*E5</f>
        <v/>
      </c>
      <c r="F6" s="14">
        <f>Revenue!E10*F5</f>
        <v/>
      </c>
      <c r="G6" s="14">
        <f>Revenue!E10*G5</f>
        <v/>
      </c>
    </row>
    <row r="8">
      <c r="B8" s="12" t="inlineStr">
        <is>
          <t>Customer ramp factor</t>
        </is>
      </c>
      <c r="C8" s="22" t="n">
        <v>0.7</v>
      </c>
      <c r="D8" s="22" t="n">
        <v>0.85</v>
      </c>
      <c r="E8" s="22" t="n">
        <v>1</v>
      </c>
      <c r="F8" s="22" t="n">
        <v>1.15</v>
      </c>
      <c r="G8" s="22" t="n">
        <v>1.3</v>
      </c>
      <c r="H8" s="20" t="inlineStr">
        <is>
          <t>Customer count (and thus echo volume) scaling.</t>
        </is>
      </c>
    </row>
    <row r="9">
      <c r="B9" s="10" t="inlineStr">
        <is>
          <t xml:space="preserve">  Y3 Revenue at sensitivity</t>
        </is>
      </c>
      <c r="C9" s="14">
        <f>Revenue!E10*C8</f>
        <v/>
      </c>
      <c r="D9" s="14">
        <f>Revenue!E10*D8</f>
        <v/>
      </c>
      <c r="E9" s="14">
        <f>Revenue!E10*E8</f>
        <v/>
      </c>
      <c r="F9" s="14">
        <f>Revenue!E10*F8</f>
        <v/>
      </c>
      <c r="G9" s="14">
        <f>Revenue!E10*G8</f>
        <v/>
      </c>
    </row>
    <row r="11">
      <c r="B11" s="12" t="inlineStr">
        <is>
          <t>Burn factor</t>
        </is>
      </c>
      <c r="C11" s="22" t="n">
        <v>0.8</v>
      </c>
      <c r="D11" s="22" t="n">
        <v>0.9</v>
      </c>
      <c r="E11" s="22" t="n">
        <v>1</v>
      </c>
      <c r="F11" s="22" t="n">
        <v>1.1</v>
      </c>
      <c r="G11" s="22" t="n">
        <v>1.2</v>
      </c>
      <c r="H11" s="20" t="inlineStr">
        <is>
          <t>Applied to Total OpEx.</t>
        </is>
      </c>
    </row>
    <row r="12">
      <c r="B12" s="10" t="inlineStr">
        <is>
          <t xml:space="preserve">  Y3 OpEx at sensitivity</t>
        </is>
      </c>
      <c r="C12" s="14">
        <f>INDEX(OpEx!E:E,MATCH("Total OpEx",OpEx!B:B,0))*C11</f>
        <v/>
      </c>
      <c r="D12" s="14">
        <f>INDEX(OpEx!E:E,MATCH("Total OpEx",OpEx!B:B,0))*D11</f>
        <v/>
      </c>
      <c r="E12" s="14">
        <f>INDEX(OpEx!E:E,MATCH("Total OpEx",OpEx!B:B,0))*E11</f>
        <v/>
      </c>
      <c r="F12" s="14">
        <f>INDEX(OpEx!E:E,MATCH("Total OpEx",OpEx!B:B,0))*F11</f>
        <v/>
      </c>
      <c r="G12" s="14">
        <f>INDEX(OpEx!E:E,MATCH("Total OpEx",OpEx!B:B,0))*G11</f>
        <v/>
      </c>
    </row>
    <row r="13">
      <c r="B13" s="10" t="inlineStr">
        <is>
          <t xml:space="preserve">  Implied Y3 EBITDA</t>
        </is>
      </c>
      <c r="C13" s="14">
        <f>Revenue!E10-INDEX(Revenue!E:E,MATCH("Total COGS",Revenue!B:B,0))-C12</f>
        <v/>
      </c>
      <c r="D13" s="14">
        <f>Revenue!E10-INDEX(Revenue!E:E,MATCH("Total COGS",Revenue!B:B,0))-D12</f>
        <v/>
      </c>
      <c r="E13" s="14">
        <f>Revenue!E10-INDEX(Revenue!E:E,MATCH("Total COGS",Revenue!B:B,0))-E12</f>
        <v/>
      </c>
      <c r="F13" s="14">
        <f>Revenue!E10-INDEX(Revenue!E:E,MATCH("Total COGS",Revenue!B:B,0))-F12</f>
        <v/>
      </c>
      <c r="G13" s="14">
        <f>Revenue!E10-INDEX(Revenue!E:E,MATCH("Total COGS",Revenue!B:B,0))-G12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2026-05-01T22:55:17Z</dcterms:created>
  <dcterms:modified xsi:type="dcterms:W3CDTF">2026-05-01T22:55:17Z</dcterms:modified>
</cp:coreProperties>
</file>