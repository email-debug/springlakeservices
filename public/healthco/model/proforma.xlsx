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urrent Cap Table" sheetId="2" state="visible" r:id="rId2"/>
    <sheet name="SAFE Conversion Math" sheetId="3" state="visible" r:id="rId3"/>
    <sheet name="Series A Pro Forma — Base" sheetId="4" state="visible" r:id="rId4"/>
    <sheet name="Scenarios" sheetId="5" state="visible" r:id="rId5"/>
    <sheet name="Founder Trajectory" sheetId="6" state="visible" r:id="rId6"/>
    <sheet name="Dead Equity Fla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&quot;-&quot;"/>
    <numFmt numFmtId="165" formatCode="_($* #,##0_);_($* (#,##0);_($* &quot;-&quot;_);_(@_)"/>
    <numFmt numFmtId="166" formatCode="_($* #,##0.00_);_($* (#,##0.00);_($* &quot;-&quot;??_);_(@_)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b val="1"/>
      <color rgb="001F3864"/>
      <sz val="11"/>
    </font>
    <font>
      <name val="Calibri"/>
      <b val="1"/>
      <sz val="10"/>
    </font>
    <font>
      <name val="Calibri"/>
      <sz val="10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CC"/>
      </patternFill>
    </fill>
    <fill>
      <patternFill patternType="solid">
        <fgColor rgb="00EAF3FB"/>
      </patternFill>
    </fill>
    <fill>
      <patternFill patternType="solid">
        <fgColor rgb="00C6E0B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3" borderId="1" pivotButton="0" quotePrefix="0" xfId="0"/>
    <xf numFmtId="10" fontId="4" fillId="4" borderId="1" pivotButton="0" quotePrefix="0" xfId="0"/>
    <xf numFmtId="0" fontId="8" fillId="0" borderId="0" applyAlignment="1" pivotButton="0" quotePrefix="0" xfId="0">
      <alignment horizontal="left" vertical="center"/>
    </xf>
    <xf numFmtId="164" fontId="3" fillId="5" borderId="1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4" fillId="3" borderId="1" pivotButton="0" quotePrefix="0" xfId="0"/>
    <xf numFmtId="10" fontId="4" fillId="3" borderId="1" pivotButton="0" quotePrefix="0" xfId="0"/>
    <xf numFmtId="165" fontId="4" fillId="4" borderId="1" pivotButton="0" quotePrefix="0" xfId="0"/>
    <xf numFmtId="1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  <xf numFmtId="164" fontId="4" fillId="4" borderId="1" pivotButton="0" quotePrefix="0" xfId="0"/>
    <xf numFmtId="10" fontId="3" fillId="5" borderId="1" pivotButton="0" quotePrefix="0" xfId="0"/>
    <xf numFmtId="0" fontId="2" fillId="6" borderId="0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</cols>
  <sheetData>
    <row r="2">
      <c r="B2" s="1" t="inlineStr">
        <is>
          <t>HealthCo, Inc. — Pro Forma Cap Table</t>
        </is>
      </c>
    </row>
    <row r="3">
      <c r="B3" s="2" t="inlineStr">
        <is>
          <t>Series A Round</t>
        </is>
      </c>
    </row>
    <row r="5">
      <c r="B5" s="3" t="inlineStr">
        <is>
          <t>Round size</t>
        </is>
      </c>
      <c r="C5" s="4" t="inlineStr">
        <is>
          <t>$15.0M at $50.0M pre / $65.0M post</t>
        </is>
      </c>
    </row>
    <row r="6">
      <c r="B6" s="3" t="inlineStr">
        <is>
          <t>Option pool top-up</t>
        </is>
      </c>
      <c r="C6" s="4" t="inlineStr">
        <is>
          <t>To 12% of post-money fully diluted (lead's ask)</t>
        </is>
      </c>
    </row>
    <row r="7">
      <c r="B7" s="3" t="inlineStr">
        <is>
          <t>SAFEs</t>
        </is>
      </c>
      <c r="C7" s="4" t="inlineStr">
        <is>
          <t>Two YC post-money SAFEs; convert at lower of cap or this-round price</t>
        </is>
      </c>
    </row>
    <row r="9">
      <c r="B9" s="5" t="inlineStr">
        <is>
          <t>SAMPLE — FOR DEMONSTRATION ONLY. Not a securities offering. Numbers are illustrative.</t>
        </is>
      </c>
    </row>
  </sheetData>
  <mergeCells count="1"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8" customWidth="1" min="4" max="4"/>
    <col width="14" customWidth="1" min="5" max="5"/>
    <col width="30" customWidth="1" min="6" max="6"/>
  </cols>
  <sheetData>
    <row r="1">
      <c r="B1" s="1" t="inlineStr">
        <is>
          <t>Current Cap Table — Pre-Series A (Fully Diluted)</t>
        </is>
      </c>
    </row>
    <row r="3">
      <c r="B3" s="6" t="inlineStr">
        <is>
          <t>Holder / Class</t>
        </is>
      </c>
      <c r="C3" s="6" t="inlineStr">
        <is>
          <t>Type</t>
        </is>
      </c>
      <c r="D3" s="6" t="inlineStr">
        <is>
          <t>Shares</t>
        </is>
      </c>
      <c r="E3" s="6" t="inlineStr">
        <is>
          <t>% FD</t>
        </is>
      </c>
      <c r="F3" s="6" t="inlineStr">
        <is>
          <t>Notes</t>
        </is>
      </c>
    </row>
    <row r="4">
      <c r="B4" s="7" t="inlineStr">
        <is>
          <t>Maya Chen — CEO</t>
        </is>
      </c>
      <c r="C4" s="7" t="inlineStr">
        <is>
          <t>Common</t>
        </is>
      </c>
      <c r="D4" s="8" t="n">
        <v>3492063</v>
      </c>
      <c r="E4" s="9">
        <f>D4/D$9</f>
        <v/>
      </c>
    </row>
    <row r="5">
      <c r="B5" s="7" t="inlineStr">
        <is>
          <t>Raj Iyer — CTO</t>
        </is>
      </c>
      <c r="C5" s="7" t="inlineStr">
        <is>
          <t>Common</t>
        </is>
      </c>
      <c r="D5" s="8" t="n">
        <v>2857143</v>
      </c>
      <c r="E5" s="9">
        <f>D5/D$9</f>
        <v/>
      </c>
    </row>
    <row r="6">
      <c r="B6" s="7" t="inlineStr">
        <is>
          <t>Sarah Whittaker — CMO</t>
        </is>
      </c>
      <c r="C6" s="7" t="inlineStr">
        <is>
          <t>Common</t>
        </is>
      </c>
      <c r="D6" s="8" t="n">
        <v>1269841</v>
      </c>
      <c r="E6" s="9">
        <f>D6/D$9</f>
        <v/>
      </c>
    </row>
    <row r="7">
      <c r="B7" s="7" t="inlineStr">
        <is>
          <t>Option pool — granted</t>
        </is>
      </c>
      <c r="C7" s="7" t="inlineStr">
        <is>
          <t>Options</t>
        </is>
      </c>
      <c r="D7" s="8" t="n">
        <v>1587302</v>
      </c>
      <c r="E7" s="9">
        <f>D7/D$9</f>
        <v/>
      </c>
    </row>
    <row r="8">
      <c r="B8" s="7" t="inlineStr">
        <is>
          <t>Option pool — available</t>
        </is>
      </c>
      <c r="C8" s="7" t="inlineStr">
        <is>
          <t>Options</t>
        </is>
      </c>
      <c r="D8" s="8" t="n">
        <v>793651</v>
      </c>
      <c r="E8" s="9">
        <f>D8/D$9</f>
        <v/>
      </c>
    </row>
    <row r="9">
      <c r="B9" s="10" t="inlineStr">
        <is>
          <t>Total pre-SAFE shares (base)</t>
        </is>
      </c>
      <c r="D9" s="11">
        <f>SUM(D4:D8)</f>
        <v/>
      </c>
    </row>
    <row r="11">
      <c r="B11" s="12" t="inlineStr">
        <is>
          <t>SAFE 1 — Angel round (Q3 2022)</t>
        </is>
      </c>
      <c r="C11" s="7" t="inlineStr">
        <is>
          <t>SAFE</t>
        </is>
      </c>
      <c r="E11" s="13" t="inlineStr">
        <is>
          <t>$1.5M @ $10M post-money cap; converts at Series A</t>
        </is>
      </c>
    </row>
    <row r="12">
      <c r="B12" s="12" t="inlineStr">
        <is>
          <t>SAFE 2 — Angel extension (Q1 2023)</t>
        </is>
      </c>
      <c r="C12" s="7" t="inlineStr">
        <is>
          <t>SAFE</t>
        </is>
      </c>
      <c r="E12" s="13" t="inlineStr">
        <is>
          <t>$1.0M @ $18M post-money cap; converts at Series A</t>
        </is>
      </c>
    </row>
    <row r="14">
      <c r="B14" s="10" t="inlineStr">
        <is>
          <t>NIH SBIR Phase II grant</t>
        </is>
      </c>
      <c r="E14" s="13" t="inlineStr">
        <is>
          <t>$1.7M non-dilutive — does not appear on cap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30" customWidth="1" min="5" max="5"/>
  </cols>
  <sheetData>
    <row r="1">
      <c r="B1" s="1" t="inlineStr">
        <is>
          <t>SAFE Conversion — at Series A</t>
        </is>
      </c>
    </row>
    <row r="2">
      <c r="B2" s="4" t="inlineStr">
        <is>
          <t>Standard YC post-money SAFE: cap-only, no discount, no MFN. Converts at lower of (post-money valuation cap) or (Series A price per share).</t>
        </is>
      </c>
    </row>
    <row r="4">
      <c r="B4" s="6" t="inlineStr">
        <is>
          <t>Item</t>
        </is>
      </c>
      <c r="C4" s="6" t="inlineStr">
        <is>
          <t>SAFE 1</t>
        </is>
      </c>
      <c r="D4" s="6" t="inlineStr">
        <is>
          <t>SAFE 2</t>
        </is>
      </c>
      <c r="E4" s="6" t="inlineStr">
        <is>
          <t>Notes</t>
        </is>
      </c>
    </row>
    <row r="5">
      <c r="B5" s="7" t="inlineStr">
        <is>
          <t>Investment ($)</t>
        </is>
      </c>
      <c r="C5" s="14" t="n">
        <v>1500000</v>
      </c>
      <c r="D5" s="14" t="n">
        <v>1000000</v>
      </c>
    </row>
    <row r="6">
      <c r="B6" s="7" t="inlineStr">
        <is>
          <t>Post-money cap ($)</t>
        </is>
      </c>
      <c r="C6" s="14" t="n">
        <v>10000000</v>
      </c>
      <c r="D6" s="14" t="n">
        <v>18000000</v>
      </c>
    </row>
    <row r="7">
      <c r="B7" s="7" t="inlineStr">
        <is>
          <t>Discount %</t>
        </is>
      </c>
      <c r="C7" s="15" t="n">
        <v>0</v>
      </c>
      <c r="D7" s="15" t="n">
        <v>0</v>
      </c>
    </row>
    <row r="8">
      <c r="B8" s="7" t="inlineStr">
        <is>
          <t>Series A pre-money ($)</t>
        </is>
      </c>
      <c r="C8" s="14" t="n">
        <v>50000000</v>
      </c>
    </row>
    <row r="9">
      <c r="B9" s="7" t="inlineStr">
        <is>
          <t>Series A investment ($)</t>
        </is>
      </c>
      <c r="C9" s="14" t="n">
        <v>15000000</v>
      </c>
    </row>
    <row r="10">
      <c r="B10" s="7" t="inlineStr">
        <is>
          <t>Series A post-money ($)</t>
        </is>
      </c>
      <c r="C10" s="16">
        <f>C8+C9</f>
        <v/>
      </c>
    </row>
    <row r="12">
      <c r="B12" s="10" t="inlineStr">
        <is>
          <t>SAFE ownership % (= investment / cap)</t>
        </is>
      </c>
      <c r="C12" s="17">
        <f>C5/C6</f>
        <v/>
      </c>
      <c r="D12" s="17">
        <f>D5/D6</f>
        <v/>
      </c>
      <c r="E12" s="13" t="inlineStr">
        <is>
          <t>Post-money SAFE: ownership baked into cap.</t>
        </is>
      </c>
    </row>
    <row r="13">
      <c r="B13" s="7" t="inlineStr">
        <is>
          <t>Implied SAFE price-per-share</t>
        </is>
      </c>
      <c r="C13" s="18">
        <f>C6/'Current Cap Table'!D9</f>
        <v/>
      </c>
      <c r="D13" s="18">
        <f>D6/'Current Cap Table'!D9</f>
        <v/>
      </c>
      <c r="E13" s="13" t="inlineStr">
        <is>
          <t>Cap divided by pre-SAFE base shares.</t>
        </is>
      </c>
    </row>
    <row r="14">
      <c r="B14" s="7" t="inlineStr">
        <is>
          <t>Series A price-per-share (pre-money / pre-FD)</t>
        </is>
      </c>
      <c r="C14" s="18">
        <f>C8/'Current Cap Table'!D9</f>
        <v/>
      </c>
      <c r="E14" s="13" t="inlineStr">
        <is>
          <t>Standard convention: pre-money / pre-money FD.</t>
        </is>
      </c>
    </row>
    <row r="15">
      <c r="B15" s="10" t="inlineStr">
        <is>
          <t>Conversion price (lower of)</t>
        </is>
      </c>
      <c r="C15" s="19">
        <f>MIN(C13,C14)</f>
        <v/>
      </c>
      <c r="D15" s="19">
        <f>MIN(D13,C14)</f>
        <v/>
      </c>
    </row>
    <row r="16">
      <c r="B16" s="10" t="inlineStr">
        <is>
          <t>Shares issued at conversion</t>
        </is>
      </c>
      <c r="C16" s="11">
        <f>C5/C15</f>
        <v/>
      </c>
      <c r="D16" s="11">
        <f>D5/D15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4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>
      <c r="B1" s="1" t="inlineStr">
        <is>
          <t>Series A Pro Forma — Base ($50M pre / $15M / $65M post, 12% pool)</t>
        </is>
      </c>
    </row>
    <row r="3">
      <c r="B3" s="6" t="inlineStr">
        <is>
          <t>Holder / Class</t>
        </is>
      </c>
      <c r="C3" s="6" t="inlineStr">
        <is>
          <t>Stage</t>
        </is>
      </c>
      <c r="D3" s="6" t="inlineStr">
        <is>
          <t>Shares</t>
        </is>
      </c>
      <c r="E3" s="6" t="inlineStr">
        <is>
          <t>% FD</t>
        </is>
      </c>
      <c r="F3" s="6" t="inlineStr">
        <is>
          <t>Notes</t>
        </is>
      </c>
    </row>
    <row r="4">
      <c r="B4" s="7" t="inlineStr">
        <is>
          <t>Maya Chen — CEO</t>
        </is>
      </c>
      <c r="C4" s="7" t="inlineStr">
        <is>
          <t>Common</t>
        </is>
      </c>
      <c r="D4" s="8" t="n">
        <v>3492063</v>
      </c>
    </row>
    <row r="5">
      <c r="B5" s="7" t="inlineStr">
        <is>
          <t>Raj Iyer — CTO</t>
        </is>
      </c>
      <c r="C5" s="7" t="inlineStr">
        <is>
          <t>Common</t>
        </is>
      </c>
      <c r="D5" s="8" t="n">
        <v>2857143</v>
      </c>
    </row>
    <row r="6">
      <c r="B6" s="7" t="inlineStr">
        <is>
          <t>Sarah Whittaker — CMO</t>
        </is>
      </c>
      <c r="C6" s="7" t="inlineStr">
        <is>
          <t>Common</t>
        </is>
      </c>
      <c r="D6" s="8" t="n">
        <v>1269841</v>
      </c>
    </row>
    <row r="7">
      <c r="B7" s="7" t="inlineStr">
        <is>
          <t>Option pool — granted (pre-A)</t>
        </is>
      </c>
      <c r="C7" s="7" t="inlineStr">
        <is>
          <t>Options</t>
        </is>
      </c>
      <c r="D7" s="8" t="n">
        <v>1587302</v>
      </c>
    </row>
    <row r="8">
      <c r="B8" s="7" t="inlineStr">
        <is>
          <t>Option pool — available (pre-A)</t>
        </is>
      </c>
      <c r="C8" s="7" t="inlineStr">
        <is>
          <t>Options</t>
        </is>
      </c>
      <c r="D8" s="8" t="n">
        <v>793651</v>
      </c>
    </row>
    <row r="9">
      <c r="B9" s="10" t="inlineStr">
        <is>
          <t xml:space="preserve">  Subtotal: pre-A base shares</t>
        </is>
      </c>
      <c r="D9" s="11">
        <f>SUM(D4:D8)</f>
        <v/>
      </c>
    </row>
    <row r="11">
      <c r="B11" s="7" t="inlineStr">
        <is>
          <t>SAFE 1 (converted)</t>
        </is>
      </c>
      <c r="C11" s="7" t="inlineStr">
        <is>
          <t>Pref</t>
        </is>
      </c>
      <c r="D11" s="20">
        <f>'SAFE Conversion Math'!C16</f>
        <v/>
      </c>
      <c r="F11" s="13" t="inlineStr">
        <is>
          <t>$1.5M @ $10M cap</t>
        </is>
      </c>
    </row>
    <row r="12">
      <c r="B12" s="7" t="inlineStr">
        <is>
          <t>SAFE 2 (converted)</t>
        </is>
      </c>
      <c r="C12" s="7" t="inlineStr">
        <is>
          <t>Pref</t>
        </is>
      </c>
      <c r="D12" s="20">
        <f>'SAFE Conversion Math'!D16</f>
        <v/>
      </c>
      <c r="F12" s="13" t="inlineStr">
        <is>
          <t>$1.0M @ $18M cap</t>
        </is>
      </c>
    </row>
    <row r="15">
      <c r="B15" s="10" t="inlineStr">
        <is>
          <t>Round inputs</t>
        </is>
      </c>
    </row>
    <row r="16">
      <c r="B16" s="7" t="inlineStr">
        <is>
          <t>Pre-money ($)</t>
        </is>
      </c>
      <c r="D16" s="14" t="n">
        <v>50000000</v>
      </c>
    </row>
    <row r="17">
      <c r="B17" s="7" t="inlineStr">
        <is>
          <t>Investment ($)</t>
        </is>
      </c>
      <c r="D17" s="14" t="n">
        <v>15000000</v>
      </c>
    </row>
    <row r="18">
      <c r="B18" s="7" t="inlineStr">
        <is>
          <t>Post-money ($)</t>
        </is>
      </c>
      <c r="D18" s="16">
        <f>D16+D17</f>
        <v/>
      </c>
    </row>
    <row r="19">
      <c r="B19" s="7" t="inlineStr">
        <is>
          <t>Target option pool % (post-money FD)</t>
        </is>
      </c>
      <c r="D19" s="15" t="n">
        <v>0.12</v>
      </c>
    </row>
    <row r="20">
      <c r="B20" s="7" t="inlineStr">
        <is>
          <t>SAFE 1 ownership % (post-money)</t>
        </is>
      </c>
      <c r="D20" s="9">
        <f>'SAFE Conversion Math'!C12</f>
        <v/>
      </c>
    </row>
    <row r="21">
      <c r="B21" s="7" t="inlineStr">
        <is>
          <t>SAFE 2 ownership % (post-money)</t>
        </is>
      </c>
      <c r="D21" s="9">
        <f>'SAFE Conversion Math'!D12</f>
        <v/>
      </c>
    </row>
    <row r="22">
      <c r="B22" s="7" t="inlineStr">
        <is>
          <t>New investor % (post-money)</t>
        </is>
      </c>
      <c r="D22" s="9">
        <f>D17/D18</f>
        <v/>
      </c>
    </row>
    <row r="23">
      <c r="B23" s="10" t="inlineStr">
        <is>
          <t>Founders + existing common % (post-money)</t>
        </is>
      </c>
      <c r="D23" s="21">
        <f>1-D19-D20-D21-D22</f>
        <v/>
      </c>
    </row>
    <row r="24">
      <c r="B24" s="7" t="inlineStr">
        <is>
          <t>Founders + existing common shares (carried)</t>
        </is>
      </c>
      <c r="D24" s="20">
        <f>D4+D5+D6+D7</f>
        <v/>
      </c>
    </row>
    <row r="25">
      <c r="B25" s="10" t="inlineStr">
        <is>
          <t>Total post-money shares</t>
        </is>
      </c>
      <c r="D25" s="11">
        <f>D24/D23</f>
        <v/>
      </c>
    </row>
    <row r="26">
      <c r="B26" s="7" t="inlineStr">
        <is>
          <t xml:space="preserve">  New option pool (top-up to 12%)</t>
        </is>
      </c>
      <c r="D26" s="20">
        <f>D25*D19</f>
        <v/>
      </c>
    </row>
    <row r="27">
      <c r="B27" s="7" t="inlineStr">
        <is>
          <t xml:space="preserve">  Series A new investor shares</t>
        </is>
      </c>
      <c r="D27" s="20">
        <f>D25*D22</f>
        <v/>
      </c>
    </row>
    <row r="28">
      <c r="B28" s="7" t="inlineStr">
        <is>
          <t xml:space="preserve">  SAFE 1 shares (re-stated for total)</t>
        </is>
      </c>
      <c r="D28" s="20">
        <f>D25*D20</f>
        <v/>
      </c>
    </row>
    <row r="29">
      <c r="B29" s="7" t="inlineStr">
        <is>
          <t xml:space="preserve">  SAFE 2 shares (re-stated for total)</t>
        </is>
      </c>
      <c r="D29" s="20">
        <f>D25*D21</f>
        <v/>
      </c>
    </row>
    <row r="31">
      <c r="B31" s="10" t="inlineStr">
        <is>
          <t>POST-MONEY CAP TABLE</t>
        </is>
      </c>
    </row>
    <row r="32">
      <c r="B32" s="22" t="inlineStr">
        <is>
          <t>Holder</t>
        </is>
      </c>
      <c r="C32" s="22" t="inlineStr">
        <is>
          <t>Type</t>
        </is>
      </c>
      <c r="D32" s="22" t="inlineStr">
        <is>
          <t>Shares</t>
        </is>
      </c>
      <c r="E32" s="22" t="inlineStr">
        <is>
          <t>% FD</t>
        </is>
      </c>
      <c r="F32" s="22" t="inlineStr">
        <is>
          <t>Notes</t>
        </is>
      </c>
    </row>
    <row r="33">
      <c r="B33" s="7" t="inlineStr">
        <is>
          <t>Maya Chen — Common</t>
        </is>
      </c>
      <c r="C33" s="7" t="inlineStr">
        <is>
          <t>Common</t>
        </is>
      </c>
      <c r="D33" s="20">
        <f>D4</f>
        <v/>
      </c>
      <c r="E33" s="9">
        <f>D33/D$25</f>
        <v/>
      </c>
    </row>
    <row r="34">
      <c r="B34" s="7" t="inlineStr">
        <is>
          <t>Raj Iyer — Common</t>
        </is>
      </c>
      <c r="C34" s="7" t="inlineStr">
        <is>
          <t>Common</t>
        </is>
      </c>
      <c r="D34" s="20">
        <f>D5</f>
        <v/>
      </c>
      <c r="E34" s="9">
        <f>D34/D$25</f>
        <v/>
      </c>
    </row>
    <row r="35">
      <c r="B35" s="7" t="inlineStr">
        <is>
          <t>Sarah Whittaker — Common</t>
        </is>
      </c>
      <c r="C35" s="7" t="inlineStr">
        <is>
          <t>Common</t>
        </is>
      </c>
      <c r="D35" s="20">
        <f>D6</f>
        <v/>
      </c>
      <c r="E35" s="9">
        <f>D35/D$25</f>
        <v/>
      </c>
    </row>
    <row r="36">
      <c r="B36" s="7" t="inlineStr">
        <is>
          <t>Existing options (granted, carried)</t>
        </is>
      </c>
      <c r="C36" s="7" t="inlineStr">
        <is>
          <t>Options</t>
        </is>
      </c>
      <c r="D36" s="20">
        <f>D7</f>
        <v/>
      </c>
      <c r="E36" s="9">
        <f>D36/D$25</f>
        <v/>
      </c>
    </row>
    <row r="37">
      <c r="B37" s="7" t="inlineStr">
        <is>
          <t>Option pool — refreshed to 12%</t>
        </is>
      </c>
      <c r="C37" s="7" t="inlineStr">
        <is>
          <t>Options</t>
        </is>
      </c>
      <c r="D37" s="20">
        <f>D25*D19-D7</f>
        <v/>
      </c>
      <c r="E37" s="9">
        <f>(D25*D19-D7)/D$25</f>
        <v/>
      </c>
    </row>
    <row r="38">
      <c r="B38" s="7" t="inlineStr">
        <is>
          <t>SAFE 1 — converted Pref</t>
        </is>
      </c>
      <c r="C38" s="7" t="inlineStr">
        <is>
          <t>Pref</t>
        </is>
      </c>
      <c r="D38" s="20">
        <f>D25*D20</f>
        <v/>
      </c>
      <c r="E38" s="9">
        <f>D20</f>
        <v/>
      </c>
    </row>
    <row r="39">
      <c r="B39" s="7" t="inlineStr">
        <is>
          <t>SAFE 2 — converted Pref</t>
        </is>
      </c>
      <c r="C39" s="7" t="inlineStr">
        <is>
          <t>Pref</t>
        </is>
      </c>
      <c r="D39" s="20">
        <f>D25*D21</f>
        <v/>
      </c>
      <c r="E39" s="9">
        <f>D21</f>
        <v/>
      </c>
    </row>
    <row r="40">
      <c r="B40" s="10" t="inlineStr">
        <is>
          <t>Series A — new investor</t>
        </is>
      </c>
      <c r="C40" s="7" t="inlineStr">
        <is>
          <t>Series A Pref</t>
        </is>
      </c>
      <c r="D40" s="11">
        <f>D27</f>
        <v/>
      </c>
      <c r="E40" s="21">
        <f>D22</f>
        <v/>
      </c>
    </row>
    <row r="41">
      <c r="B41" s="10" t="inlineStr">
        <is>
          <t>TOTAL</t>
        </is>
      </c>
      <c r="D41" s="11">
        <f>SUM(D33:D40)</f>
        <v/>
      </c>
      <c r="E41" s="21">
        <f>SUM(E33:E40)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>
      <c r="B1" s="1" t="inlineStr">
        <is>
          <t>Series A Pro Forma — Scenarios</t>
        </is>
      </c>
    </row>
    <row r="3">
      <c r="B3" s="6" t="inlineStr">
        <is>
          <t>Item</t>
        </is>
      </c>
      <c r="C3" s="6" t="inlineStr">
        <is>
          <t>Low ($40M pre)</t>
        </is>
      </c>
      <c r="D3" s="6" t="inlineStr">
        <is>
          <t>Base ($50M pre)</t>
        </is>
      </c>
      <c r="E3" s="6" t="inlineStr">
        <is>
          <t>High ($60M pre)</t>
        </is>
      </c>
      <c r="F3" s="6" t="inlineStr">
        <is>
          <t>Lead Pushback (15% pool)</t>
        </is>
      </c>
      <c r="G3" s="6" t="inlineStr">
        <is>
          <t>Notes</t>
        </is>
      </c>
    </row>
    <row r="4">
      <c r="B4" s="7" t="inlineStr">
        <is>
          <t>Pre-money ($)</t>
        </is>
      </c>
      <c r="C4" s="14" t="n">
        <v>40000000</v>
      </c>
      <c r="D4" s="14" t="n">
        <v>50000000</v>
      </c>
      <c r="E4" s="14" t="n">
        <v>60000000</v>
      </c>
      <c r="F4" s="14" t="n">
        <v>50000000</v>
      </c>
    </row>
    <row r="5">
      <c r="B5" s="7" t="inlineStr">
        <is>
          <t>Investment ($)</t>
        </is>
      </c>
      <c r="C5" s="14" t="n">
        <v>15000000</v>
      </c>
      <c r="D5" s="14" t="n">
        <v>15000000</v>
      </c>
      <c r="E5" s="14" t="n">
        <v>15000000</v>
      </c>
      <c r="F5" s="14" t="n">
        <v>15000000</v>
      </c>
    </row>
    <row r="6">
      <c r="B6" s="7" t="inlineStr">
        <is>
          <t>Post-money ($)</t>
        </is>
      </c>
      <c r="C6" s="16">
        <f>C4+C5</f>
        <v/>
      </c>
      <c r="D6" s="16">
        <f>D4+D5</f>
        <v/>
      </c>
      <c r="E6" s="16">
        <f>E4+E5</f>
        <v/>
      </c>
      <c r="F6" s="16">
        <f>F4+F5</f>
        <v/>
      </c>
    </row>
    <row r="7">
      <c r="B7" s="7" t="inlineStr">
        <is>
          <t>Target pool % (post-money)</t>
        </is>
      </c>
      <c r="C7" s="15" t="n">
        <v>0.12</v>
      </c>
      <c r="D7" s="15" t="n">
        <v>0.12</v>
      </c>
      <c r="E7" s="15" t="n">
        <v>0.12</v>
      </c>
      <c r="F7" s="15" t="n">
        <v>0.15</v>
      </c>
    </row>
    <row r="9">
      <c r="B9" s="7" t="inlineStr">
        <is>
          <t>SAFE 1 % (= 1.5 / 10)</t>
        </is>
      </c>
      <c r="C9" s="9">
        <f>1500000/10000000</f>
        <v/>
      </c>
      <c r="D9" s="9">
        <f>1500000/10000000</f>
        <v/>
      </c>
      <c r="E9" s="9">
        <f>1500000/10000000</f>
        <v/>
      </c>
      <c r="F9" s="9">
        <f>1500000/10000000</f>
        <v/>
      </c>
    </row>
    <row r="10">
      <c r="B10" s="7" t="inlineStr">
        <is>
          <t>SAFE 2 % (= 1.0 / 18)</t>
        </is>
      </c>
      <c r="C10" s="9">
        <f>1000000/18000000</f>
        <v/>
      </c>
      <c r="D10" s="9">
        <f>1000000/18000000</f>
        <v/>
      </c>
      <c r="E10" s="9">
        <f>1000000/18000000</f>
        <v/>
      </c>
      <c r="F10" s="9">
        <f>1000000/18000000</f>
        <v/>
      </c>
    </row>
    <row r="11">
      <c r="B11" s="7" t="inlineStr">
        <is>
          <t>New investor % (= inv / post)</t>
        </is>
      </c>
      <c r="C11" s="9">
        <f>C5/C6</f>
        <v/>
      </c>
      <c r="D11" s="9">
        <f>D5/D6</f>
        <v/>
      </c>
      <c r="E11" s="9">
        <f>E5/E6</f>
        <v/>
      </c>
      <c r="F11" s="9">
        <f>F5/F6</f>
        <v/>
      </c>
    </row>
    <row r="12">
      <c r="B12" s="10" t="inlineStr">
        <is>
          <t>Founders + existing common % (residual)</t>
        </is>
      </c>
      <c r="C12" s="21">
        <f>1-C7-C9-C10-C11</f>
        <v/>
      </c>
      <c r="D12" s="21">
        <f>1-D7-D9-D10-D11</f>
        <v/>
      </c>
      <c r="E12" s="21">
        <f>1-E7-E9-E10-E11</f>
        <v/>
      </c>
      <c r="F12" s="21">
        <f>1-F7-F9-F10-F11</f>
        <v/>
      </c>
    </row>
    <row r="14">
      <c r="B14" s="10" t="inlineStr">
        <is>
          <t>Founder ownership only (Maya+Raj+Sarah)</t>
        </is>
      </c>
      <c r="C14" s="21">
        <f>C12*48/58</f>
        <v/>
      </c>
      <c r="D14" s="21">
        <f>D12*48/58</f>
        <v/>
      </c>
      <c r="E14" s="21">
        <f>E12*48/58</f>
        <v/>
      </c>
      <c r="F14" s="21">
        <f>F12*48/58</f>
        <v/>
      </c>
    </row>
    <row r="15">
      <c r="B15" s="7" t="inlineStr">
        <is>
          <t xml:space="preserve">  Maya (22% of pre-A common)</t>
        </is>
      </c>
      <c r="C15" s="9">
        <f>C12*22/58</f>
        <v/>
      </c>
      <c r="D15" s="9">
        <f>D12*22/58</f>
        <v/>
      </c>
      <c r="E15" s="9">
        <f>E12*22/58</f>
        <v/>
      </c>
      <c r="F15" s="9">
        <f>F12*22/58</f>
        <v/>
      </c>
    </row>
    <row r="16">
      <c r="B16" s="7" t="inlineStr">
        <is>
          <t xml:space="preserve">  Raj (18%)</t>
        </is>
      </c>
      <c r="C16" s="9">
        <f>C12*18/58</f>
        <v/>
      </c>
      <c r="D16" s="9">
        <f>D12*18/58</f>
        <v/>
      </c>
      <c r="E16" s="9">
        <f>E12*18/58</f>
        <v/>
      </c>
      <c r="F16" s="9">
        <f>F12*18/58</f>
        <v/>
      </c>
    </row>
    <row r="17">
      <c r="B17" s="7" t="inlineStr">
        <is>
          <t xml:space="preserve">  Sarah (8%)</t>
        </is>
      </c>
      <c r="C17" s="9">
        <f>C12*8/58</f>
        <v/>
      </c>
      <c r="D17" s="9">
        <f>D12*8/58</f>
        <v/>
      </c>
      <c r="E17" s="9">
        <f>E12*8/58</f>
        <v/>
      </c>
      <c r="F17" s="9">
        <f>F12*8/58</f>
        <v/>
      </c>
    </row>
    <row r="19">
      <c r="B19" s="10" t="inlineStr">
        <is>
          <t>Sanity: total % must = 100%</t>
        </is>
      </c>
      <c r="C19" s="21">
        <f>C7+C9+C10+C11+C12</f>
        <v/>
      </c>
      <c r="D19" s="21">
        <f>D7+D9+D10+D11+D12</f>
        <v/>
      </c>
      <c r="E19" s="21">
        <f>E7+E9+E10+E11+E12</f>
        <v/>
      </c>
      <c r="F19" s="21">
        <f>F7+F9+F10+F11+F12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B1" s="1" t="inlineStr">
        <is>
          <t>Founder Ownership Trajectory</t>
        </is>
      </c>
    </row>
    <row r="2">
      <c r="B2" s="4" t="inlineStr">
        <is>
          <t>Pre-A → Series A → Series B (assumed) → Exit</t>
        </is>
      </c>
    </row>
    <row r="4">
      <c r="B4" s="6" t="inlineStr">
        <is>
          <t>Founder</t>
        </is>
      </c>
      <c r="C4" s="6" t="inlineStr">
        <is>
          <t>Pre-Series-A</t>
        </is>
      </c>
      <c r="D4" s="6" t="inlineStr">
        <is>
          <t>Post-Series-A</t>
        </is>
      </c>
      <c r="E4" s="6" t="inlineStr">
        <is>
          <t>Post-Series-B</t>
        </is>
      </c>
      <c r="F4" s="6" t="inlineStr">
        <is>
          <t>At Exit ($500M)</t>
        </is>
      </c>
    </row>
    <row r="5">
      <c r="B5" s="7" t="inlineStr">
        <is>
          <t>Maya Chen</t>
        </is>
      </c>
      <c r="C5" s="15" t="n">
        <v>0.22</v>
      </c>
      <c r="D5" s="9">
        <f>Scenarios!D12*0.22/0.58</f>
        <v/>
      </c>
      <c r="E5" s="9">
        <f>D5*0.77</f>
        <v/>
      </c>
      <c r="F5" s="9">
        <f>E5</f>
        <v/>
      </c>
    </row>
    <row r="6">
      <c r="B6" s="7" t="inlineStr">
        <is>
          <t>Raj Iyer</t>
        </is>
      </c>
      <c r="C6" s="15" t="n">
        <v>0.18</v>
      </c>
      <c r="D6" s="9">
        <f>Scenarios!D12*0.18/0.58</f>
        <v/>
      </c>
      <c r="E6" s="9">
        <f>D6*0.77</f>
        <v/>
      </c>
      <c r="F6" s="9">
        <f>E6</f>
        <v/>
      </c>
    </row>
    <row r="7">
      <c r="B7" s="7" t="inlineStr">
        <is>
          <t>Sarah Whittaker</t>
        </is>
      </c>
      <c r="C7" s="15" t="n">
        <v>0.08</v>
      </c>
      <c r="D7" s="9">
        <f>Scenarios!D12*0.08/0.58</f>
        <v/>
      </c>
      <c r="E7" s="9">
        <f>D7*0.77</f>
        <v/>
      </c>
      <c r="F7" s="9">
        <f>E7</f>
        <v/>
      </c>
    </row>
    <row r="9">
      <c r="B9" s="10" t="inlineStr">
        <is>
          <t>Series B assumptions</t>
        </is>
      </c>
    </row>
    <row r="10">
      <c r="B10" s="7" t="inlineStr">
        <is>
          <t xml:space="preserve">  Pre-money</t>
        </is>
      </c>
      <c r="C10" s="14" t="n">
        <v>120000000</v>
      </c>
    </row>
    <row r="11">
      <c r="B11" s="7" t="inlineStr">
        <is>
          <t xml:space="preserve">  Raise</t>
        </is>
      </c>
      <c r="C11" s="14" t="n">
        <v>30000000</v>
      </c>
    </row>
    <row r="12">
      <c r="B12" s="7" t="inlineStr">
        <is>
          <t xml:space="preserve">  Post-money</t>
        </is>
      </c>
      <c r="C12" s="16">
        <f>C32+C33</f>
        <v/>
      </c>
    </row>
    <row r="13">
      <c r="B13" s="7" t="inlineStr">
        <is>
          <t xml:space="preserve">  New-investor %</t>
        </is>
      </c>
      <c r="C13" s="9">
        <f>C33/C34</f>
        <v/>
      </c>
    </row>
    <row r="14">
      <c r="B14" s="7" t="inlineStr">
        <is>
          <t xml:space="preserve">  Pool top-up % (incremental)</t>
        </is>
      </c>
      <c r="C14" s="15" t="n">
        <v>0.03</v>
      </c>
    </row>
    <row r="15">
      <c r="B15" s="7" t="inlineStr">
        <is>
          <t xml:space="preserve">  Other-holder retention factor</t>
        </is>
      </c>
      <c r="C15" s="9">
        <f>1-C35-C36</f>
        <v/>
      </c>
    </row>
    <row r="17">
      <c r="B17" s="10" t="inlineStr">
        <is>
          <t>Exit assumptions</t>
        </is>
      </c>
    </row>
    <row r="18">
      <c r="B18" s="7" t="inlineStr">
        <is>
          <t xml:space="preserve">  Acquisition price</t>
        </is>
      </c>
      <c r="C18" s="14" t="n">
        <v>500000000</v>
      </c>
    </row>
    <row r="19">
      <c r="B19" s="7" t="inlineStr">
        <is>
          <t xml:space="preserve">  Maya proceeds (gross, pre-tax, pre-pref)</t>
        </is>
      </c>
      <c r="C19" s="16">
        <f>C18*F5</f>
        <v/>
      </c>
    </row>
    <row r="20">
      <c r="B20" s="7" t="inlineStr">
        <is>
          <t xml:space="preserve">  Raj proceeds</t>
        </is>
      </c>
      <c r="C20" s="16">
        <f>C18*F6</f>
        <v/>
      </c>
    </row>
    <row r="21">
      <c r="B21" s="7" t="inlineStr">
        <is>
          <t xml:space="preserve">  Sarah proceeds</t>
        </is>
      </c>
      <c r="C21" s="16">
        <f>C18*F7</f>
        <v/>
      </c>
    </row>
    <row r="22">
      <c r="B22" s="13" t="inlineStr">
        <is>
          <t>Note: simplified — does not model liquidation preferences (1x non-participating assumed for clean common math).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36" customWidth="1" min="6" max="6"/>
  </cols>
  <sheetData>
    <row r="1">
      <c r="B1" s="1" t="inlineStr">
        <is>
          <t>Dead Equity Analysis</t>
        </is>
      </c>
    </row>
    <row r="2">
      <c r="B2" s="4" t="inlineStr">
        <is>
          <t>Surfaces non-active holders &gt;2% post-money. HealthCo is intentionally clean — all founders are active executives. Logic is reproducible for other deals.</t>
        </is>
      </c>
    </row>
    <row r="4">
      <c r="B4" s="6" t="inlineStr">
        <is>
          <t>Holder</t>
        </is>
      </c>
      <c r="C4" s="6" t="inlineStr">
        <is>
          <t>Active?</t>
        </is>
      </c>
      <c r="D4" s="6" t="inlineStr">
        <is>
          <t>Post-A %</t>
        </is>
      </c>
      <c r="E4" s="6" t="inlineStr">
        <is>
          <t>Threshold</t>
        </is>
      </c>
      <c r="F4" s="6" t="inlineStr">
        <is>
          <t>Flag</t>
        </is>
      </c>
      <c r="G4" s="6" t="inlineStr">
        <is>
          <t>Notes</t>
        </is>
      </c>
    </row>
    <row r="5">
      <c r="B5" s="7" t="inlineStr">
        <is>
          <t>Maya Chen</t>
        </is>
      </c>
      <c r="C5" s="23" t="inlineStr">
        <is>
          <t>Yes</t>
        </is>
      </c>
      <c r="D5" s="9">
        <f>'Founder Trajectory'!D5</f>
        <v/>
      </c>
      <c r="E5" s="15" t="n">
        <v>0.02</v>
      </c>
      <c r="F5" s="4">
        <f>IF(AND(C5="No",D5&gt;E5),"FLAG: dead equity",IF(C5="N/A","n/a (investor)","OK"))</f>
        <v/>
      </c>
      <c r="G5" s="13" t="inlineStr">
        <is>
          <t>Founder, CEO, full-time</t>
        </is>
      </c>
    </row>
    <row r="6">
      <c r="B6" s="7" t="inlineStr">
        <is>
          <t>Raj Iyer</t>
        </is>
      </c>
      <c r="C6" s="23" t="inlineStr">
        <is>
          <t>Yes</t>
        </is>
      </c>
      <c r="D6" s="9">
        <f>'Founder Trajectory'!D6</f>
        <v/>
      </c>
      <c r="E6" s="15" t="n">
        <v>0.02</v>
      </c>
      <c r="F6" s="4">
        <f>IF(AND(C6="No",D6&gt;E6),"FLAG: dead equity",IF(C6="N/A","n/a (investor)","OK"))</f>
        <v/>
      </c>
      <c r="G6" s="13" t="inlineStr">
        <is>
          <t>Founder, CTO, full-time</t>
        </is>
      </c>
    </row>
    <row r="7">
      <c r="B7" s="7" t="inlineStr">
        <is>
          <t>Sarah Whittaker</t>
        </is>
      </c>
      <c r="C7" s="23" t="inlineStr">
        <is>
          <t>Yes</t>
        </is>
      </c>
      <c r="D7" s="9">
        <f>'Founder Trajectory'!D7</f>
        <v/>
      </c>
      <c r="E7" s="15" t="n">
        <v>0.02</v>
      </c>
      <c r="F7" s="4">
        <f>IF(AND(C7="No",D7&gt;E7),"FLAG: dead equity",IF(C7="N/A","n/a (investor)","OK"))</f>
        <v/>
      </c>
      <c r="G7" s="13" t="inlineStr">
        <is>
          <t>Founder, CMO, full-time</t>
        </is>
      </c>
    </row>
    <row r="8">
      <c r="B8" s="7" t="inlineStr">
        <is>
          <t>SAFE 1 holders (angel syndicate)</t>
        </is>
      </c>
      <c r="C8" s="23" t="inlineStr">
        <is>
          <t>N/A</t>
        </is>
      </c>
      <c r="D8" s="9">
        <f>Scenarios!D9</f>
        <v/>
      </c>
      <c r="E8" s="15" t="n">
        <v>0.02</v>
      </c>
      <c r="F8" s="4">
        <f>IF(AND(C8="No",D8&gt;E8),"FLAG: dead equity",IF(C8="N/A","n/a (investor)","OK"))</f>
        <v/>
      </c>
      <c r="G8" s="13" t="inlineStr">
        <is>
          <t>Investors — exempt from dead-equity test</t>
        </is>
      </c>
    </row>
    <row r="9">
      <c r="B9" s="7" t="inlineStr">
        <is>
          <t>SAFE 2 holders (angel syndicate)</t>
        </is>
      </c>
      <c r="C9" s="23" t="inlineStr">
        <is>
          <t>N/A</t>
        </is>
      </c>
      <c r="D9" s="9">
        <f>Scenarios!D10</f>
        <v/>
      </c>
      <c r="E9" s="15" t="n">
        <v>0.02</v>
      </c>
      <c r="F9" s="4">
        <f>IF(AND(C9="No",D9&gt;E9),"FLAG: dead equity",IF(C9="N/A","n/a (investor)","OK"))</f>
        <v/>
      </c>
      <c r="G9" s="13" t="inlineStr">
        <is>
          <t>Investors — exempt from dead-equity test</t>
        </is>
      </c>
    </row>
    <row r="11">
      <c r="B11" s="10" t="inlineStr">
        <is>
          <t>Logic</t>
        </is>
      </c>
    </row>
    <row r="12">
      <c r="B12" s="7" t="inlineStr">
        <is>
          <t>Flag = (Active='No') AND (Post-A % &gt; 2%)</t>
        </is>
      </c>
    </row>
    <row r="13">
      <c r="B13" s="13" t="inlineStr">
        <is>
          <t>Investor holders (SAFEs, Series A) are exempt — passive capital is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2026-05-01T22:55:17Z</dcterms:created>
  <dcterms:modified xsi:type="dcterms:W3CDTF">2026-05-01T22:55:17Z</dcterms:modified>
</cp:coreProperties>
</file>